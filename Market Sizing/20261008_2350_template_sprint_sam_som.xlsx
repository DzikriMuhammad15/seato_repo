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INPUT" sheetId="2" state="visible" r:id="rId2"/>
    <sheet name="ACAK" sheetId="3" state="visible" r:id="rId3"/>
    <sheet name="DAFTAR_TEMPAT" sheetId="4" state="visible" r:id="rId4"/>
    <sheet name="HASIL_SAM" sheetId="5" state="visible" r:id="rId5"/>
    <sheet name="PERCAKAPAN" sheetId="6" state="visible" r:id="rId6"/>
    <sheet name="HASIL_FUNNEL" sheetId="7" state="visible" r:id="rId7"/>
    <sheet name="SOM_KAPASI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&quot;Rp&quot;#,##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B3461"/>
      <sz val="14"/>
    </font>
    <font>
      <b val="1"/>
      <color rgb="001B3461"/>
      <sz val="12"/>
    </font>
    <font>
      <b val="1"/>
      <color rgb="00FFFFFF"/>
    </font>
    <font>
      <b val="1"/>
    </font>
    <font>
      <b val="1"/>
      <color rgb="001B3461"/>
    </font>
    <font>
      <b val="1"/>
      <color rgb="00B45309"/>
    </font>
  </fonts>
  <fills count="5">
    <fill>
      <patternFill/>
    </fill>
    <fill>
      <patternFill patternType="gray125"/>
    </fill>
    <fill>
      <patternFill patternType="solid">
        <fgColor rgb="001B3461"/>
      </patternFill>
    </fill>
    <fill>
      <patternFill patternType="solid">
        <fgColor rgb="00FFF7D6"/>
      </patternFill>
    </fill>
    <fill>
      <patternFill patternType="solid">
        <fgColor rgb="00E8F5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vertical="top" wrapText="1"/>
    </xf>
    <xf numFmtId="9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3" fontId="0" fillId="4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3" fontId="0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6" fillId="0" borderId="1" pivotButton="0" quotePrefix="0" xfId="0"/>
    <xf numFmtId="3" fontId="4" fillId="4" borderId="0" pivotButton="0" quotePrefix="0" xfId="0"/>
    <xf numFmtId="0" fontId="4" fillId="4" borderId="0" pivotButton="0" quotePrefix="0" xfId="0"/>
    <xf numFmtId="0" fontId="6" fillId="0" borderId="0" pivotButton="0" quotePrefix="0" xfId="0"/>
    <xf numFmtId="166" fontId="0" fillId="4" borderId="0" pivotButton="0" quotePrefix="0" xfId="0"/>
    <xf numFmtId="164" fontId="0" fillId="0" borderId="0" pivotButton="0" quotePrefix="0" xfId="0"/>
    <xf numFmtId="3" fontId="0" fillId="3" borderId="0" pivotButton="0" quotePrefix="0" xfId="0"/>
    <xf numFmtId="167" fontId="0" fillId="4" borderId="0" pivotButton="0" quotePrefix="0" xfId="0"/>
    <xf numFmtId="1" fontId="0" fillId="4" borderId="0" pivotButton="0" quotePrefix="0" xfId="0"/>
    <xf numFmtId="9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 SPRINT LAPANGAN: SAM, NIB, dan SOM (Seato)</t>
        </is>
      </c>
    </row>
    <row r="2">
      <c r="A2" s="2" t="inlineStr">
        <is>
          <t>Dibuat 2026-10-08. Pasangan dari file draft_semi_final_tam_sam_som.md di folder Market Sizing.</t>
        </is>
      </c>
    </row>
    <row r="3">
      <c r="A3" s="2" t="inlineStr"/>
    </row>
    <row r="4">
      <c r="A4" s="3" t="inlineStr">
        <is>
          <t>WARNA SEL</t>
        </is>
      </c>
    </row>
    <row r="5">
      <c r="A5" s="2" t="inlineStr">
        <is>
          <t>Kuning = diisi manual. Hijau muda = hasil rumus, jangan ditimpa.</t>
        </is>
      </c>
    </row>
    <row r="6">
      <c r="A6" s="2" t="inlineStr"/>
    </row>
    <row r="7">
      <c r="A7" s="3" t="inlineStr">
        <is>
          <t>URUTAN KERJA</t>
        </is>
      </c>
    </row>
    <row r="8">
      <c r="A8" s="2" t="inlineStr">
        <is>
          <t>1. Sheet INPUT: isi 'Jumlah kelurahan' per strata dari daftar resmi BPS/Pemda (jangan dari ingatan). Cek parameter lain.</t>
        </is>
      </c>
    </row>
    <row r="9">
      <c r="A9" s="2" t="inlineStr">
        <is>
          <t>2. Sheet ACAK: tekan F9 untuk menarik nomor kelurahan acak. SALIN lalu TEMPEL SEBAGAI NILAI (Paste Values) supaya tidak berubah. Ulang tarik jika ada nomor kembar.</t>
        </is>
      </c>
    </row>
    <row r="10">
      <c r="A10" s="2" t="inlineStr">
        <is>
          <t>3. Untuk tiap kelurahan terpilih: buka Google Maps (aplikasi/web biasa, bukan scraping), cari 'kedai kopi &lt;kelurahan&gt; &lt;kota&gt;'. Pilih tempat memakai kolom 'posisi daftar' di ACAK (bukan yang paling atas, karena Maps mengutamakan tempat populer).</t>
        </is>
      </c>
    </row>
    <row r="11">
      <c r="A11" s="2" t="inlineStr">
        <is>
          <t>4. Sheet DAFTAR_TEMPAT: isi satu baris per tempat. Target minimal 30 tempat per strata (6 strata = 180 baris). Isi dengan penilaian lo sendiri.</t>
        </is>
      </c>
    </row>
    <row r="12">
      <c r="A12" s="2" t="inlineStr">
        <is>
          <t>5. Sheet HASIL_SAM menghitung persentase layak + rentang kepercayaan 95% (Wilson) + SAM dalam unit dan Rupiah.</t>
        </is>
      </c>
    </row>
    <row r="13">
      <c r="A13" s="2" t="inlineStr">
        <is>
          <t>6. Sheet PERCAKAPAN: catat setiap percakapan. Kolom 'Sumber' WAJIB dibedakan: 'Acak sampel' vs 'Kontak hangat' (10 merchant pilot). Hanya 'Acak sampel' yang dihitung di HASIL_FUNNEL supaya angka tidak bias.</t>
        </is>
      </c>
    </row>
    <row r="14">
      <c r="A14" s="2" t="inlineStr">
        <is>
          <t>7. Sheet SOM_KAPASITAS: hitungan SOM dari kapasitas meeting. Ubah parameter di INPUT.</t>
        </is>
      </c>
    </row>
    <row r="15">
      <c r="A15" s="2" t="inlineStr"/>
    </row>
    <row r="16">
      <c r="A16" s="3" t="inlineStr">
        <is>
          <t>DEFINISI 'LAYAK' (SAM)</t>
        </is>
      </c>
    </row>
    <row r="17">
      <c r="A17" s="2" t="inlineStr">
        <is>
          <t>Layak = Status 'Buka' DAN Jenis 'Coffee shop/kafe' DAN Berkursi 'Ya' DAN kanal digital bukan 'Tidak ada'. Selain itu 0.</t>
        </is>
      </c>
    </row>
    <row r="18">
      <c r="A18" s="2" t="inlineStr">
        <is>
          <t>'Tidak jelas' pada Berkursi dihitung TIDAK layak (konservatif). Catat jumlahnya di kolom Catatan agar bisa dikaji ulang.</t>
        </is>
      </c>
    </row>
    <row r="19">
      <c r="A19" s="2" t="inlineStr"/>
    </row>
    <row r="20">
      <c r="A20" s="3" t="inlineStr">
        <is>
          <t>KETERBATASAN YANG HARUS DISEBUT SAAT DIPAKAI</t>
        </is>
      </c>
    </row>
    <row r="21">
      <c r="A21" s="2" t="inlineStr">
        <is>
          <t>a. Kolom N geografi (INPUT) masih dari PoiData (provisional). Ganti dengan hasil Places Aggregate begitu billing Google ada.</t>
        </is>
      </c>
    </row>
    <row r="22">
      <c r="A22" s="2" t="inlineStr">
        <is>
          <t>b. Sampel dari daftar Maps bias ke tempat populer. Persentase layak kemungkinan sedikit lebih tinggi dari kenyataan.</t>
        </is>
      </c>
    </row>
    <row r="23">
      <c r="A23" s="2" t="inlineStr">
        <is>
          <t>c. Rentang SAM total dihitung dengan menjumlah batas bawah/atas tiap strata, jadi lebih lebar (konservatif) dari rentang statistik sebenarnya.</t>
        </is>
      </c>
    </row>
    <row r="24">
      <c r="A24" s="2" t="inlineStr">
        <is>
          <t>d. SOM_KAPASITAS memakai pendekatan kohort seragam. Angka di draft (27-55 meeting/minggu untuk 340) memakai kurva bulanan FOS, sehingga selisih kecil itu wajar.</t>
        </is>
      </c>
    </row>
    <row r="25">
      <c r="A25" s="2" t="inlineStr">
        <is>
          <t>e. Close rate default (15-30%) adalah benchmark SaaS, bukan data lapangan Seato. Ganti dengan hasil HASIL_FUNNEL setelah ada data.</t>
        </is>
      </c>
    </row>
    <row r="26">
      <c r="A26" s="2" t="inlineStr">
        <is>
          <t>f. Jangan mengklaim fitur yang belum ada (seat-lock + DP belum jalan) saat percakapan merchant.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  <col width="70" customWidth="1" min="4" max="4"/>
  </cols>
  <sheetData>
    <row r="1">
      <c r="A1" s="4" t="inlineStr">
        <is>
          <t>INPUT PARAMETER</t>
        </is>
      </c>
    </row>
    <row r="3">
      <c r="A3" s="5" t="inlineStr">
        <is>
          <t>Parameter</t>
        </is>
      </c>
      <c r="B3" s="5" t="inlineStr">
        <is>
          <t>Nilai</t>
        </is>
      </c>
      <c r="C3" s="5" t="inlineStr">
        <is>
          <t>Keterangan</t>
        </is>
      </c>
    </row>
    <row r="4">
      <c r="A4" s="6" t="inlineStr">
        <is>
          <t>ARPM per merchant per bulan (Rp)</t>
        </is>
      </c>
      <c r="B4" s="7" t="n">
        <v>597750</v>
      </c>
      <c r="C4" s="8" t="inlineStr">
        <is>
          <t>FOS REVENUE MODEL. Provisional sampai harga subscription (#13) diputuskan.</t>
        </is>
      </c>
    </row>
    <row r="5">
      <c r="A5" s="6" t="inlineStr">
        <is>
          <t>Retensi bulanan merchant berbayar</t>
        </is>
      </c>
      <c r="B5" s="9" t="n">
        <v>0.95</v>
      </c>
      <c r="C5" s="8" t="inlineStr">
        <is>
          <t>Base 95% (disetujui Arif 2026-10-08). Bear 90%, stress 85%.</t>
        </is>
      </c>
    </row>
    <row r="6">
      <c r="A6" s="6" t="inlineStr">
        <is>
          <t>Meeting/percakapan merchant per minggu</t>
        </is>
      </c>
      <c r="B6" s="10" t="n">
        <v>5</v>
      </c>
      <c r="C6" s="8" t="inlineStr">
        <is>
          <t>Kapasitas tim saat ini menurut Dandy (&lt;=5).</t>
        </is>
      </c>
    </row>
    <row r="7">
      <c r="A7" s="6" t="inlineStr">
        <is>
          <t>Minggu operasi (12 bulan pertama)</t>
        </is>
      </c>
      <c r="B7" s="10" t="n">
        <v>52</v>
      </c>
      <c r="C7" s="8" t="inlineStr"/>
    </row>
    <row r="8">
      <c r="A8" s="6" t="inlineStr">
        <is>
          <t>Minggu pra-launch yang dipakai untuk meeting</t>
        </is>
      </c>
      <c r="B8" s="10" t="n">
        <v>13</v>
      </c>
      <c r="C8" s="8" t="inlineStr">
        <is>
          <t>3 bulan pra-launch (Marketer/Sales sudah digaji sejak M-3 di Cost Structure).</t>
        </is>
      </c>
    </row>
    <row r="9">
      <c r="A9" s="6" t="inlineStr">
        <is>
          <t>Close rate rendah</t>
        </is>
      </c>
      <c r="B9" s="9" t="n">
        <v>0.15</v>
      </c>
      <c r="C9" s="8" t="inlineStr">
        <is>
          <t>Benchmark SaaS demo-to-close 15-30% (daydream). BUKAN data Seato. Ganti dengan HASIL_FUNNEL.</t>
        </is>
      </c>
    </row>
    <row r="10">
      <c r="A10" s="6" t="inlineStr">
        <is>
          <t>Close rate tinggi</t>
        </is>
      </c>
      <c r="B10" s="9" t="n">
        <v>0.3</v>
      </c>
      <c r="C10" s="8" t="inlineStr">
        <is>
          <t>Lihat di atas.</t>
        </is>
      </c>
    </row>
    <row r="11">
      <c r="A11" s="6" t="inlineStr">
        <is>
          <t>z untuk rentang kepercayaan 95%</t>
        </is>
      </c>
      <c r="B11" s="11" t="n">
        <v>1.96</v>
      </c>
      <c r="C11" s="8" t="inlineStr"/>
    </row>
    <row r="12">
      <c r="A12" s="6" t="inlineStr">
        <is>
          <t>Porsi maksimal SAM yang realistis dalam 12 bulan</t>
        </is>
      </c>
      <c r="B12" s="12" t="n"/>
      <c r="C12" s="8" t="inlineStr">
        <is>
          <t>KOSONGKAN sampai ada dasar. Kosong = SOM hanya dibatasi kapasitas.</t>
        </is>
      </c>
    </row>
    <row r="13">
      <c r="A13" s="6" t="inlineStr">
        <is>
          <t>Target FOS Low (merchant M12)</t>
        </is>
      </c>
      <c r="B13" s="10" t="n">
        <v>100</v>
      </c>
      <c r="C13" s="8" t="inlineStr">
        <is>
          <t>FOS REVENUE MODEL</t>
        </is>
      </c>
    </row>
    <row r="14">
      <c r="A14" s="6" t="inlineStr">
        <is>
          <t>Target FOS Mid (merchant M12)</t>
        </is>
      </c>
      <c r="B14" s="10" t="n">
        <v>125</v>
      </c>
      <c r="C14" s="8" t="inlineStr">
        <is>
          <t>FOS REVENUE MODEL</t>
        </is>
      </c>
    </row>
    <row r="15">
      <c r="A15" s="6" t="inlineStr">
        <is>
          <t>Target FOS High (merchant M12)</t>
        </is>
      </c>
      <c r="B15" s="10" t="n">
        <v>340</v>
      </c>
      <c r="C15" s="8" t="inlineStr">
        <is>
          <t>FOS REVENUE MODEL</t>
        </is>
      </c>
    </row>
    <row r="18">
      <c r="A18" s="13" t="inlineStr">
        <is>
          <t>STRATA WILAYAH</t>
        </is>
      </c>
    </row>
    <row r="19">
      <c r="A19" s="5" t="inlineStr">
        <is>
          <t>Strata</t>
        </is>
      </c>
      <c r="B19" s="5" t="inlineStr">
        <is>
          <t>N geografi (PoiData, PROVISIONAL)</t>
        </is>
      </c>
      <c r="C19" s="5" t="inlineStr">
        <is>
          <t>Jumlah kelurahan (isi dari BPS/Pemda)</t>
        </is>
      </c>
      <c r="D19" s="5" t="inlineStr">
        <is>
          <t>Sumber N</t>
        </is>
      </c>
    </row>
    <row r="20">
      <c r="A20" s="6" t="inlineStr">
        <is>
          <t>Jakarta Selatan</t>
        </is>
      </c>
      <c r="B20" s="7" t="n">
        <v>8552</v>
      </c>
      <c r="C20" s="14" t="n"/>
      <c r="D20" s="8" t="inlineStr">
        <is>
          <t>PoiData 'South Jakarta City'</t>
        </is>
      </c>
    </row>
    <row r="21">
      <c r="A21" s="6" t="inlineStr">
        <is>
          <t>Jakarta Timur</t>
        </is>
      </c>
      <c r="B21" s="7" t="n">
        <v>7880</v>
      </c>
      <c r="C21" s="14" t="n"/>
      <c r="D21" s="8" t="inlineStr">
        <is>
          <t>PoiData 'East Jakarta City'</t>
        </is>
      </c>
    </row>
    <row r="22">
      <c r="A22" s="6" t="inlineStr">
        <is>
          <t>Jakarta Barat</t>
        </is>
      </c>
      <c r="B22" s="7" t="n">
        <v>6309</v>
      </c>
      <c r="C22" s="14" t="n"/>
      <c r="D22" s="8" t="inlineStr">
        <is>
          <t>PoiData 'West Jakarta City'</t>
        </is>
      </c>
    </row>
    <row r="23">
      <c r="A23" s="6" t="inlineStr">
        <is>
          <t>Jakarta Utara</t>
        </is>
      </c>
      <c r="B23" s="7" t="n">
        <v>4199</v>
      </c>
      <c r="C23" s="14" t="n"/>
      <c r="D23" s="8" t="inlineStr">
        <is>
          <t>PoiData 'North Jakarta City'</t>
        </is>
      </c>
    </row>
    <row r="24">
      <c r="A24" s="6" t="inlineStr">
        <is>
          <t>Jakarta Pusat + Kep. Seribu</t>
        </is>
      </c>
      <c r="B24" s="7" t="n">
        <v>4053</v>
      </c>
      <c r="C24" s="14" t="n"/>
      <c r="D24" s="8" t="inlineStr">
        <is>
          <t>TURUNAN: 30.993 (total Jakarta) dikurangi 4 kota di atas. Kep. Seribu di luar scope, koreksi saat Aggregate.</t>
        </is>
      </c>
    </row>
    <row r="25">
      <c r="A25" s="6" t="inlineStr">
        <is>
          <t>Kota Bandung</t>
        </is>
      </c>
      <c r="B25" s="7" t="n">
        <v>6977</v>
      </c>
      <c r="C25" s="14" t="n"/>
      <c r="D25" s="8" t="inlineStr">
        <is>
          <t>PoiData 'Bandung City' (Kabupaten Bandung 4.821 tidak dihitung)</t>
        </is>
      </c>
    </row>
    <row r="26">
      <c r="A26" s="15" t="inlineStr">
        <is>
          <t>Total</t>
        </is>
      </c>
      <c r="B26" s="16">
        <f>SUM(B20:B25)</f>
        <v/>
      </c>
      <c r="D26" t="inlineStr">
        <is>
          <t>Harus 37.970 selama masih memakai angka PoiData awal.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PENARIKAN ACAK (tekan F9, lalu salin &amp; tempel sebagai nilai)</t>
        </is>
      </c>
    </row>
    <row r="3">
      <c r="A3" s="5" t="inlineStr">
        <is>
          <t>Strata</t>
        </is>
      </c>
      <c r="B3" s="5" t="inlineStr">
        <is>
          <t>Kelurahan acak #1</t>
        </is>
      </c>
      <c r="C3" s="5" t="inlineStr">
        <is>
          <t>#2</t>
        </is>
      </c>
      <c r="D3" s="5" t="inlineStr">
        <is>
          <t>#3</t>
        </is>
      </c>
      <c r="E3" s="5" t="inlineStr">
        <is>
          <t>#4</t>
        </is>
      </c>
      <c r="F3" s="5" t="inlineStr">
        <is>
          <t>#5</t>
        </is>
      </c>
      <c r="G3" s="5" t="inlineStr">
        <is>
          <t>#6</t>
        </is>
      </c>
      <c r="H3" s="5" t="inlineStr">
        <is>
          <t>#7</t>
        </is>
      </c>
      <c r="I3" s="5" t="inlineStr">
        <is>
          <t>#8</t>
        </is>
      </c>
      <c r="J3" s="5" t="inlineStr">
        <is>
          <t>#9</t>
        </is>
      </c>
      <c r="K3" s="5" t="inlineStr">
        <is>
          <t>#10</t>
        </is>
      </c>
    </row>
    <row r="4">
      <c r="A4" s="6">
        <f>INPUT!A20</f>
        <v/>
      </c>
      <c r="B4" s="17">
        <f>IF(INPUT!$C$20="","isi N",RANDBETWEEN(1,INPUT!$C$20))</f>
        <v/>
      </c>
      <c r="C4" s="17">
        <f>IF(INPUT!$C$20="","isi N",RANDBETWEEN(1,INPUT!$C$20))</f>
        <v/>
      </c>
      <c r="D4" s="17">
        <f>IF(INPUT!$C$20="","isi N",RANDBETWEEN(1,INPUT!$C$20))</f>
        <v/>
      </c>
      <c r="E4" s="17">
        <f>IF(INPUT!$C$20="","isi N",RANDBETWEEN(1,INPUT!$C$20))</f>
        <v/>
      </c>
      <c r="F4" s="17">
        <f>IF(INPUT!$C$20="","isi N",RANDBETWEEN(1,INPUT!$C$20))</f>
        <v/>
      </c>
      <c r="G4" s="17">
        <f>IF(INPUT!$C$20="","isi N",RANDBETWEEN(1,INPUT!$C$20))</f>
        <v/>
      </c>
      <c r="H4" s="17">
        <f>IF(INPUT!$C$20="","isi N",RANDBETWEEN(1,INPUT!$C$20))</f>
        <v/>
      </c>
      <c r="I4" s="17">
        <f>IF(INPUT!$C$20="","isi N",RANDBETWEEN(1,INPUT!$C$20))</f>
        <v/>
      </c>
      <c r="J4" s="17">
        <f>IF(INPUT!$C$20="","isi N",RANDBETWEEN(1,INPUT!$C$20))</f>
        <v/>
      </c>
      <c r="K4" s="17">
        <f>IF(INPUT!$C$20="","isi N",RANDBETWEEN(1,INPUT!$C$20))</f>
        <v/>
      </c>
    </row>
    <row r="5">
      <c r="A5" s="6">
        <f>INPUT!A21</f>
        <v/>
      </c>
      <c r="B5" s="17">
        <f>IF(INPUT!$C$21="","isi N",RANDBETWEEN(1,INPUT!$C$21))</f>
        <v/>
      </c>
      <c r="C5" s="17">
        <f>IF(INPUT!$C$21="","isi N",RANDBETWEEN(1,INPUT!$C$21))</f>
        <v/>
      </c>
      <c r="D5" s="17">
        <f>IF(INPUT!$C$21="","isi N",RANDBETWEEN(1,INPUT!$C$21))</f>
        <v/>
      </c>
      <c r="E5" s="17">
        <f>IF(INPUT!$C$21="","isi N",RANDBETWEEN(1,INPUT!$C$21))</f>
        <v/>
      </c>
      <c r="F5" s="17">
        <f>IF(INPUT!$C$21="","isi N",RANDBETWEEN(1,INPUT!$C$21))</f>
        <v/>
      </c>
      <c r="G5" s="17">
        <f>IF(INPUT!$C$21="","isi N",RANDBETWEEN(1,INPUT!$C$21))</f>
        <v/>
      </c>
      <c r="H5" s="17">
        <f>IF(INPUT!$C$21="","isi N",RANDBETWEEN(1,INPUT!$C$21))</f>
        <v/>
      </c>
      <c r="I5" s="17">
        <f>IF(INPUT!$C$21="","isi N",RANDBETWEEN(1,INPUT!$C$21))</f>
        <v/>
      </c>
      <c r="J5" s="17">
        <f>IF(INPUT!$C$21="","isi N",RANDBETWEEN(1,INPUT!$C$21))</f>
        <v/>
      </c>
      <c r="K5" s="17">
        <f>IF(INPUT!$C$21="","isi N",RANDBETWEEN(1,INPUT!$C$21))</f>
        <v/>
      </c>
    </row>
    <row r="6">
      <c r="A6" s="6">
        <f>INPUT!A22</f>
        <v/>
      </c>
      <c r="B6" s="17">
        <f>IF(INPUT!$C$22="","isi N",RANDBETWEEN(1,INPUT!$C$22))</f>
        <v/>
      </c>
      <c r="C6" s="17">
        <f>IF(INPUT!$C$22="","isi N",RANDBETWEEN(1,INPUT!$C$22))</f>
        <v/>
      </c>
      <c r="D6" s="17">
        <f>IF(INPUT!$C$22="","isi N",RANDBETWEEN(1,INPUT!$C$22))</f>
        <v/>
      </c>
      <c r="E6" s="17">
        <f>IF(INPUT!$C$22="","isi N",RANDBETWEEN(1,INPUT!$C$22))</f>
        <v/>
      </c>
      <c r="F6" s="17">
        <f>IF(INPUT!$C$22="","isi N",RANDBETWEEN(1,INPUT!$C$22))</f>
        <v/>
      </c>
      <c r="G6" s="17">
        <f>IF(INPUT!$C$22="","isi N",RANDBETWEEN(1,INPUT!$C$22))</f>
        <v/>
      </c>
      <c r="H6" s="17">
        <f>IF(INPUT!$C$22="","isi N",RANDBETWEEN(1,INPUT!$C$22))</f>
        <v/>
      </c>
      <c r="I6" s="17">
        <f>IF(INPUT!$C$22="","isi N",RANDBETWEEN(1,INPUT!$C$22))</f>
        <v/>
      </c>
      <c r="J6" s="17">
        <f>IF(INPUT!$C$22="","isi N",RANDBETWEEN(1,INPUT!$C$22))</f>
        <v/>
      </c>
      <c r="K6" s="17">
        <f>IF(INPUT!$C$22="","isi N",RANDBETWEEN(1,INPUT!$C$22))</f>
        <v/>
      </c>
    </row>
    <row r="7">
      <c r="A7" s="6">
        <f>INPUT!A23</f>
        <v/>
      </c>
      <c r="B7" s="17">
        <f>IF(INPUT!$C$23="","isi N",RANDBETWEEN(1,INPUT!$C$23))</f>
        <v/>
      </c>
      <c r="C7" s="17">
        <f>IF(INPUT!$C$23="","isi N",RANDBETWEEN(1,INPUT!$C$23))</f>
        <v/>
      </c>
      <c r="D7" s="17">
        <f>IF(INPUT!$C$23="","isi N",RANDBETWEEN(1,INPUT!$C$23))</f>
        <v/>
      </c>
      <c r="E7" s="17">
        <f>IF(INPUT!$C$23="","isi N",RANDBETWEEN(1,INPUT!$C$23))</f>
        <v/>
      </c>
      <c r="F7" s="17">
        <f>IF(INPUT!$C$23="","isi N",RANDBETWEEN(1,INPUT!$C$23))</f>
        <v/>
      </c>
      <c r="G7" s="17">
        <f>IF(INPUT!$C$23="","isi N",RANDBETWEEN(1,INPUT!$C$23))</f>
        <v/>
      </c>
      <c r="H7" s="17">
        <f>IF(INPUT!$C$23="","isi N",RANDBETWEEN(1,INPUT!$C$23))</f>
        <v/>
      </c>
      <c r="I7" s="17">
        <f>IF(INPUT!$C$23="","isi N",RANDBETWEEN(1,INPUT!$C$23))</f>
        <v/>
      </c>
      <c r="J7" s="17">
        <f>IF(INPUT!$C$23="","isi N",RANDBETWEEN(1,INPUT!$C$23))</f>
        <v/>
      </c>
      <c r="K7" s="17">
        <f>IF(INPUT!$C$23="","isi N",RANDBETWEEN(1,INPUT!$C$23))</f>
        <v/>
      </c>
    </row>
    <row r="8">
      <c r="A8" s="6">
        <f>INPUT!A24</f>
        <v/>
      </c>
      <c r="B8" s="17">
        <f>IF(INPUT!$C$24="","isi N",RANDBETWEEN(1,INPUT!$C$24))</f>
        <v/>
      </c>
      <c r="C8" s="17">
        <f>IF(INPUT!$C$24="","isi N",RANDBETWEEN(1,INPUT!$C$24))</f>
        <v/>
      </c>
      <c r="D8" s="17">
        <f>IF(INPUT!$C$24="","isi N",RANDBETWEEN(1,INPUT!$C$24))</f>
        <v/>
      </c>
      <c r="E8" s="17">
        <f>IF(INPUT!$C$24="","isi N",RANDBETWEEN(1,INPUT!$C$24))</f>
        <v/>
      </c>
      <c r="F8" s="17">
        <f>IF(INPUT!$C$24="","isi N",RANDBETWEEN(1,INPUT!$C$24))</f>
        <v/>
      </c>
      <c r="G8" s="17">
        <f>IF(INPUT!$C$24="","isi N",RANDBETWEEN(1,INPUT!$C$24))</f>
        <v/>
      </c>
      <c r="H8" s="17">
        <f>IF(INPUT!$C$24="","isi N",RANDBETWEEN(1,INPUT!$C$24))</f>
        <v/>
      </c>
      <c r="I8" s="17">
        <f>IF(INPUT!$C$24="","isi N",RANDBETWEEN(1,INPUT!$C$24))</f>
        <v/>
      </c>
      <c r="J8" s="17">
        <f>IF(INPUT!$C$24="","isi N",RANDBETWEEN(1,INPUT!$C$24))</f>
        <v/>
      </c>
      <c r="K8" s="17">
        <f>IF(INPUT!$C$24="","isi N",RANDBETWEEN(1,INPUT!$C$24))</f>
        <v/>
      </c>
    </row>
    <row r="9">
      <c r="A9" s="6">
        <f>INPUT!A25</f>
        <v/>
      </c>
      <c r="B9" s="17">
        <f>IF(INPUT!$C$25="","isi N",RANDBETWEEN(1,INPUT!$C$25))</f>
        <v/>
      </c>
      <c r="C9" s="17">
        <f>IF(INPUT!$C$25="","isi N",RANDBETWEEN(1,INPUT!$C$25))</f>
        <v/>
      </c>
      <c r="D9" s="17">
        <f>IF(INPUT!$C$25="","isi N",RANDBETWEEN(1,INPUT!$C$25))</f>
        <v/>
      </c>
      <c r="E9" s="17">
        <f>IF(INPUT!$C$25="","isi N",RANDBETWEEN(1,INPUT!$C$25))</f>
        <v/>
      </c>
      <c r="F9" s="17">
        <f>IF(INPUT!$C$25="","isi N",RANDBETWEEN(1,INPUT!$C$25))</f>
        <v/>
      </c>
      <c r="G9" s="17">
        <f>IF(INPUT!$C$25="","isi N",RANDBETWEEN(1,INPUT!$C$25))</f>
        <v/>
      </c>
      <c r="H9" s="17">
        <f>IF(INPUT!$C$25="","isi N",RANDBETWEEN(1,INPUT!$C$25))</f>
        <v/>
      </c>
      <c r="I9" s="17">
        <f>IF(INPUT!$C$25="","isi N",RANDBETWEEN(1,INPUT!$C$25))</f>
        <v/>
      </c>
      <c r="J9" s="17">
        <f>IF(INPUT!$C$25="","isi N",RANDBETWEEN(1,INPUT!$C$25))</f>
        <v/>
      </c>
      <c r="K9" s="17">
        <f>IF(INPUT!$C$25="","isi N",RANDBETWEEN(1,INPUT!$C$25))</f>
        <v/>
      </c>
    </row>
    <row r="12">
      <c r="A12" t="inlineStr">
        <is>
          <t>Nomor di atas = urutan kelurahan pada daftar resmi yang diurutkan alfabet. Jika ada nomor kembar dalam satu baris, tarik ulang (F9).</t>
        </is>
      </c>
    </row>
    <row r="14">
      <c r="A14" s="18" t="inlineStr">
        <is>
          <t>Posisi tempat acak di daftar hasil Maps (untuk memilih tempat, bukan yang teratas)</t>
        </is>
      </c>
    </row>
    <row r="15">
      <c r="A15" s="5" t="inlineStr">
        <is>
          <t>Pengundian</t>
        </is>
      </c>
      <c r="B15" s="5" t="inlineStr">
        <is>
          <t>Posisi #1</t>
        </is>
      </c>
      <c r="C15" s="5" t="inlineStr">
        <is>
          <t>#2</t>
        </is>
      </c>
      <c r="D15" s="5" t="inlineStr">
        <is>
          <t>#3</t>
        </is>
      </c>
      <c r="E15" s="5" t="inlineStr">
        <is>
          <t>#4</t>
        </is>
      </c>
      <c r="F15" s="5" t="inlineStr">
        <is>
          <t>#5</t>
        </is>
      </c>
      <c r="G15" s="5" t="inlineStr">
        <is>
          <t>#6</t>
        </is>
      </c>
    </row>
    <row r="16">
      <c r="A16" s="6" t="inlineStr">
        <is>
          <t>Kelurahan ke-1</t>
        </is>
      </c>
      <c r="B16" s="17">
        <f>RANDBETWEEN(1,30)</f>
        <v/>
      </c>
      <c r="C16" s="17">
        <f>RANDBETWEEN(1,30)</f>
        <v/>
      </c>
      <c r="D16" s="17">
        <f>RANDBETWEEN(1,30)</f>
        <v/>
      </c>
      <c r="E16" s="17">
        <f>RANDBETWEEN(1,30)</f>
        <v/>
      </c>
      <c r="F16" s="17">
        <f>RANDBETWEEN(1,30)</f>
        <v/>
      </c>
      <c r="G16" s="17">
        <f>RANDBETWEEN(1,30)</f>
        <v/>
      </c>
    </row>
    <row r="17">
      <c r="A17" s="6" t="inlineStr">
        <is>
          <t>Kelurahan ke-2</t>
        </is>
      </c>
      <c r="B17" s="17">
        <f>RANDBETWEEN(1,30)</f>
        <v/>
      </c>
      <c r="C17" s="17">
        <f>RANDBETWEEN(1,30)</f>
        <v/>
      </c>
      <c r="D17" s="17">
        <f>RANDBETWEEN(1,30)</f>
        <v/>
      </c>
      <c r="E17" s="17">
        <f>RANDBETWEEN(1,30)</f>
        <v/>
      </c>
      <c r="F17" s="17">
        <f>RANDBETWEEN(1,30)</f>
        <v/>
      </c>
      <c r="G17" s="17">
        <f>RANDBETWEEN(1,30)</f>
        <v/>
      </c>
    </row>
    <row r="18">
      <c r="A18" s="6" t="inlineStr">
        <is>
          <t>Kelurahan ke-3</t>
        </is>
      </c>
      <c r="B18" s="17">
        <f>RANDBETWEEN(1,30)</f>
        <v/>
      </c>
      <c r="C18" s="17">
        <f>RANDBETWEEN(1,30)</f>
        <v/>
      </c>
      <c r="D18" s="17">
        <f>RANDBETWEEN(1,30)</f>
        <v/>
      </c>
      <c r="E18" s="17">
        <f>RANDBETWEEN(1,30)</f>
        <v/>
      </c>
      <c r="F18" s="17">
        <f>RANDBETWEEN(1,30)</f>
        <v/>
      </c>
      <c r="G18" s="17">
        <f>RANDBETWEEN(1,30)</f>
        <v/>
      </c>
    </row>
    <row r="19">
      <c r="A19" s="6" t="inlineStr">
        <is>
          <t>Kelurahan ke-4</t>
        </is>
      </c>
      <c r="B19" s="17">
        <f>RANDBETWEEN(1,30)</f>
        <v/>
      </c>
      <c r="C19" s="17">
        <f>RANDBETWEEN(1,30)</f>
        <v/>
      </c>
      <c r="D19" s="17">
        <f>RANDBETWEEN(1,30)</f>
        <v/>
      </c>
      <c r="E19" s="17">
        <f>RANDBETWEEN(1,30)</f>
        <v/>
      </c>
      <c r="F19" s="17">
        <f>RANDBETWEEN(1,30)</f>
        <v/>
      </c>
      <c r="G19" s="17">
        <f>RANDBETWEEN(1,30)</f>
        <v/>
      </c>
    </row>
    <row r="20">
      <c r="A20" s="6" t="inlineStr">
        <is>
          <t>Kelurahan ke-5</t>
        </is>
      </c>
      <c r="B20" s="17">
        <f>RANDBETWEEN(1,30)</f>
        <v/>
      </c>
      <c r="C20" s="17">
        <f>RANDBETWEEN(1,30)</f>
        <v/>
      </c>
      <c r="D20" s="17">
        <f>RANDBETWEEN(1,30)</f>
        <v/>
      </c>
      <c r="E20" s="17">
        <f>RANDBETWEEN(1,30)</f>
        <v/>
      </c>
      <c r="F20" s="17">
        <f>RANDBETWEEN(1,30)</f>
        <v/>
      </c>
      <c r="G20" s="17">
        <f>RANDBETWEEN(1,30)</f>
        <v/>
      </c>
    </row>
    <row r="22">
      <c r="A22" t="inlineStr">
        <is>
          <t>Jika daftar Maps untuk kelurahan itu kurang dari 30 tempat, pakai posisi yang &lt;= jumlah tempat. Catat posisi yang dipakai di kolom Catatan DAFTAR_TEMPAT.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30" customWidth="1" min="4" max="4"/>
    <col width="14" customWidth="1" min="5" max="5"/>
    <col width="20" customWidth="1" min="6" max="6"/>
    <col width="24" customWidth="1" min="7" max="7"/>
    <col width="16" customWidth="1" min="8" max="8"/>
    <col width="18" customWidth="1" min="9" max="9"/>
    <col width="18" customWidth="1" min="10" max="10"/>
    <col width="12" customWidth="1" min="11" max="11"/>
    <col width="40" customWidth="1" min="12" max="12"/>
    <col width="12" customWidth="1" min="13" max="13"/>
  </cols>
  <sheetData>
    <row r="1" ht="32" customHeight="1">
      <c r="A1" s="5" t="inlineStr">
        <is>
          <t>ID</t>
        </is>
      </c>
      <c r="B1" s="5" t="inlineStr">
        <is>
          <t>Strata</t>
        </is>
      </c>
      <c r="C1" s="5" t="inlineStr">
        <is>
          <t>Kelurahan</t>
        </is>
      </c>
      <c r="D1" s="5" t="inlineStr">
        <is>
          <t>Nama tempat</t>
        </is>
      </c>
      <c r="E1" s="5" t="inlineStr">
        <is>
          <t>Tanggal dicek</t>
        </is>
      </c>
      <c r="F1" s="5" t="inlineStr">
        <is>
          <t>Status di Maps</t>
        </is>
      </c>
      <c r="G1" s="5" t="inlineStr">
        <is>
          <t>Jenis</t>
        </is>
      </c>
      <c r="H1" s="5" t="inlineStr">
        <is>
          <t>Berkursi/dine-in</t>
        </is>
      </c>
      <c r="I1" s="5" t="inlineStr">
        <is>
          <t>Kanal digital</t>
        </is>
      </c>
      <c r="J1" s="5" t="inlineStr">
        <is>
          <t>IG aktif (&lt;=30 hari)</t>
        </is>
      </c>
      <c r="K1" s="5" t="inlineStr">
        <is>
          <t>Jumlah review</t>
        </is>
      </c>
      <c r="L1" s="5" t="inlineStr">
        <is>
          <t>Catatan (posisi daftar, 'tidak jelas', dll)</t>
        </is>
      </c>
      <c r="M1" s="5" t="inlineStr">
        <is>
          <t>LAYAK (1/0)</t>
        </is>
      </c>
    </row>
    <row r="2">
      <c r="A2" t="n">
        <v>1</v>
      </c>
      <c r="B2" s="19" t="n"/>
      <c r="C2" s="19" t="n"/>
      <c r="D2" s="19" t="n"/>
      <c r="E2" s="20" t="n"/>
      <c r="F2" s="19" t="n"/>
      <c r="G2" s="19" t="n"/>
      <c r="H2" s="19" t="n"/>
      <c r="I2" s="19" t="n"/>
      <c r="J2" s="19" t="n"/>
      <c r="K2" s="19" t="n"/>
      <c r="L2" s="19" t="n"/>
      <c r="M2" s="21">
        <f>IF(OR(B2="",F2="",G2=""),"",IF(OR(F2&lt;&gt;"Buka",G2&lt;&gt;"Coffee shop/kafe"),0,IF(OR(H2="",I2=""),"",IF(AND(H2="Ya",I2&lt;&gt;"Tidak ada"),1,0))))</f>
        <v/>
      </c>
    </row>
    <row r="3">
      <c r="A3" t="n">
        <v>2</v>
      </c>
      <c r="B3" s="19" t="n"/>
      <c r="C3" s="19" t="n"/>
      <c r="D3" s="19" t="n"/>
      <c r="E3" s="20" t="n"/>
      <c r="F3" s="19" t="n"/>
      <c r="G3" s="19" t="n"/>
      <c r="H3" s="19" t="n"/>
      <c r="I3" s="19" t="n"/>
      <c r="J3" s="19" t="n"/>
      <c r="K3" s="19" t="n"/>
      <c r="L3" s="19" t="n"/>
      <c r="M3" s="21">
        <f>IF(OR(B3="",F3="",G3=""),"",IF(OR(F3&lt;&gt;"Buka",G3&lt;&gt;"Coffee shop/kafe"),0,IF(OR(H3="",I3=""),"",IF(AND(H3="Ya",I3&lt;&gt;"Tidak ada"),1,0))))</f>
        <v/>
      </c>
    </row>
    <row r="4">
      <c r="A4" t="n">
        <v>3</v>
      </c>
      <c r="B4" s="19" t="n"/>
      <c r="C4" s="19" t="n"/>
      <c r="D4" s="19" t="n"/>
      <c r="E4" s="20" t="n"/>
      <c r="F4" s="19" t="n"/>
      <c r="G4" s="19" t="n"/>
      <c r="H4" s="19" t="n"/>
      <c r="I4" s="19" t="n"/>
      <c r="J4" s="19" t="n"/>
      <c r="K4" s="19" t="n"/>
      <c r="L4" s="19" t="n"/>
      <c r="M4" s="21">
        <f>IF(OR(B4="",F4="",G4=""),"",IF(OR(F4&lt;&gt;"Buka",G4&lt;&gt;"Coffee shop/kafe"),0,IF(OR(H4="",I4=""),"",IF(AND(H4="Ya",I4&lt;&gt;"Tidak ada"),1,0))))</f>
        <v/>
      </c>
    </row>
    <row r="5">
      <c r="A5" t="n">
        <v>4</v>
      </c>
      <c r="B5" s="19" t="n"/>
      <c r="C5" s="19" t="n"/>
      <c r="D5" s="19" t="n"/>
      <c r="E5" s="20" t="n"/>
      <c r="F5" s="19" t="n"/>
      <c r="G5" s="19" t="n"/>
      <c r="H5" s="19" t="n"/>
      <c r="I5" s="19" t="n"/>
      <c r="J5" s="19" t="n"/>
      <c r="K5" s="19" t="n"/>
      <c r="L5" s="19" t="n"/>
      <c r="M5" s="21">
        <f>IF(OR(B5="",F5="",G5=""),"",IF(OR(F5&lt;&gt;"Buka",G5&lt;&gt;"Coffee shop/kafe"),0,IF(OR(H5="",I5=""),"",IF(AND(H5="Ya",I5&lt;&gt;"Tidak ada"),1,0))))</f>
        <v/>
      </c>
    </row>
    <row r="6">
      <c r="A6" t="n">
        <v>5</v>
      </c>
      <c r="B6" s="19" t="n"/>
      <c r="C6" s="19" t="n"/>
      <c r="D6" s="19" t="n"/>
      <c r="E6" s="20" t="n"/>
      <c r="F6" s="19" t="n"/>
      <c r="G6" s="19" t="n"/>
      <c r="H6" s="19" t="n"/>
      <c r="I6" s="19" t="n"/>
      <c r="J6" s="19" t="n"/>
      <c r="K6" s="19" t="n"/>
      <c r="L6" s="19" t="n"/>
      <c r="M6" s="21">
        <f>IF(OR(B6="",F6="",G6=""),"",IF(OR(F6&lt;&gt;"Buka",G6&lt;&gt;"Coffee shop/kafe"),0,IF(OR(H6="",I6=""),"",IF(AND(H6="Ya",I6&lt;&gt;"Tidak ada"),1,0))))</f>
        <v/>
      </c>
    </row>
    <row r="7">
      <c r="A7" t="n">
        <v>6</v>
      </c>
      <c r="B7" s="19" t="n"/>
      <c r="C7" s="19" t="n"/>
      <c r="D7" s="19" t="n"/>
      <c r="E7" s="20" t="n"/>
      <c r="F7" s="19" t="n"/>
      <c r="G7" s="19" t="n"/>
      <c r="H7" s="19" t="n"/>
      <c r="I7" s="19" t="n"/>
      <c r="J7" s="19" t="n"/>
      <c r="K7" s="19" t="n"/>
      <c r="L7" s="19" t="n"/>
      <c r="M7" s="21">
        <f>IF(OR(B7="",F7="",G7=""),"",IF(OR(F7&lt;&gt;"Buka",G7&lt;&gt;"Coffee shop/kafe"),0,IF(OR(H7="",I7=""),"",IF(AND(H7="Ya",I7&lt;&gt;"Tidak ada"),1,0))))</f>
        <v/>
      </c>
    </row>
    <row r="8">
      <c r="A8" t="n">
        <v>7</v>
      </c>
      <c r="B8" s="19" t="n"/>
      <c r="C8" s="19" t="n"/>
      <c r="D8" s="19" t="n"/>
      <c r="E8" s="20" t="n"/>
      <c r="F8" s="19" t="n"/>
      <c r="G8" s="19" t="n"/>
      <c r="H8" s="19" t="n"/>
      <c r="I8" s="19" t="n"/>
      <c r="J8" s="19" t="n"/>
      <c r="K8" s="19" t="n"/>
      <c r="L8" s="19" t="n"/>
      <c r="M8" s="21">
        <f>IF(OR(B8="",F8="",G8=""),"",IF(OR(F8&lt;&gt;"Buka",G8&lt;&gt;"Coffee shop/kafe"),0,IF(OR(H8="",I8=""),"",IF(AND(H8="Ya",I8&lt;&gt;"Tidak ada"),1,0))))</f>
        <v/>
      </c>
    </row>
    <row r="9">
      <c r="A9" t="n">
        <v>8</v>
      </c>
      <c r="B9" s="19" t="n"/>
      <c r="C9" s="19" t="n"/>
      <c r="D9" s="19" t="n"/>
      <c r="E9" s="20" t="n"/>
      <c r="F9" s="19" t="n"/>
      <c r="G9" s="19" t="n"/>
      <c r="H9" s="19" t="n"/>
      <c r="I9" s="19" t="n"/>
      <c r="J9" s="19" t="n"/>
      <c r="K9" s="19" t="n"/>
      <c r="L9" s="19" t="n"/>
      <c r="M9" s="21">
        <f>IF(OR(B9="",F9="",G9=""),"",IF(OR(F9&lt;&gt;"Buka",G9&lt;&gt;"Coffee shop/kafe"),0,IF(OR(H9="",I9=""),"",IF(AND(H9="Ya",I9&lt;&gt;"Tidak ada"),1,0))))</f>
        <v/>
      </c>
    </row>
    <row r="10">
      <c r="A10" t="n">
        <v>9</v>
      </c>
      <c r="B10" s="19" t="n"/>
      <c r="C10" s="19" t="n"/>
      <c r="D10" s="19" t="n"/>
      <c r="E10" s="20" t="n"/>
      <c r="F10" s="19" t="n"/>
      <c r="G10" s="19" t="n"/>
      <c r="H10" s="19" t="n"/>
      <c r="I10" s="19" t="n"/>
      <c r="J10" s="19" t="n"/>
      <c r="K10" s="19" t="n"/>
      <c r="L10" s="19" t="n"/>
      <c r="M10" s="21">
        <f>IF(OR(B10="",F10="",G10=""),"",IF(OR(F10&lt;&gt;"Buka",G10&lt;&gt;"Coffee shop/kafe"),0,IF(OR(H10="",I10=""),"",IF(AND(H10="Ya",I10&lt;&gt;"Tidak ada"),1,0))))</f>
        <v/>
      </c>
    </row>
    <row r="11">
      <c r="A11" t="n">
        <v>10</v>
      </c>
      <c r="B11" s="19" t="n"/>
      <c r="C11" s="19" t="n"/>
      <c r="D11" s="19" t="n"/>
      <c r="E11" s="20" t="n"/>
      <c r="F11" s="19" t="n"/>
      <c r="G11" s="19" t="n"/>
      <c r="H11" s="19" t="n"/>
      <c r="I11" s="19" t="n"/>
      <c r="J11" s="19" t="n"/>
      <c r="K11" s="19" t="n"/>
      <c r="L11" s="19" t="n"/>
      <c r="M11" s="21">
        <f>IF(OR(B11="",F11="",G11=""),"",IF(OR(F11&lt;&gt;"Buka",G11&lt;&gt;"Coffee shop/kafe"),0,IF(OR(H11="",I11=""),"",IF(AND(H11="Ya",I11&lt;&gt;"Tidak ada"),1,0))))</f>
        <v/>
      </c>
    </row>
    <row r="12">
      <c r="A12" t="n">
        <v>11</v>
      </c>
      <c r="B12" s="19" t="n"/>
      <c r="C12" s="19" t="n"/>
      <c r="D12" s="19" t="n"/>
      <c r="E12" s="20" t="n"/>
      <c r="F12" s="19" t="n"/>
      <c r="G12" s="19" t="n"/>
      <c r="H12" s="19" t="n"/>
      <c r="I12" s="19" t="n"/>
      <c r="J12" s="19" t="n"/>
      <c r="K12" s="19" t="n"/>
      <c r="L12" s="19" t="n"/>
      <c r="M12" s="21">
        <f>IF(OR(B12="",F12="",G12=""),"",IF(OR(F12&lt;&gt;"Buka",G12&lt;&gt;"Coffee shop/kafe"),0,IF(OR(H12="",I12=""),"",IF(AND(H12="Ya",I12&lt;&gt;"Tidak ada"),1,0))))</f>
        <v/>
      </c>
    </row>
    <row r="13">
      <c r="A13" t="n">
        <v>12</v>
      </c>
      <c r="B13" s="19" t="n"/>
      <c r="C13" s="19" t="n"/>
      <c r="D13" s="19" t="n"/>
      <c r="E13" s="20" t="n"/>
      <c r="F13" s="19" t="n"/>
      <c r="G13" s="19" t="n"/>
      <c r="H13" s="19" t="n"/>
      <c r="I13" s="19" t="n"/>
      <c r="J13" s="19" t="n"/>
      <c r="K13" s="19" t="n"/>
      <c r="L13" s="19" t="n"/>
      <c r="M13" s="21">
        <f>IF(OR(B13="",F13="",G13=""),"",IF(OR(F13&lt;&gt;"Buka",G13&lt;&gt;"Coffee shop/kafe"),0,IF(OR(H13="",I13=""),"",IF(AND(H13="Ya",I13&lt;&gt;"Tidak ada"),1,0))))</f>
        <v/>
      </c>
    </row>
    <row r="14">
      <c r="A14" t="n">
        <v>13</v>
      </c>
      <c r="B14" s="19" t="n"/>
      <c r="C14" s="19" t="n"/>
      <c r="D14" s="19" t="n"/>
      <c r="E14" s="20" t="n"/>
      <c r="F14" s="19" t="n"/>
      <c r="G14" s="19" t="n"/>
      <c r="H14" s="19" t="n"/>
      <c r="I14" s="19" t="n"/>
      <c r="J14" s="19" t="n"/>
      <c r="K14" s="19" t="n"/>
      <c r="L14" s="19" t="n"/>
      <c r="M14" s="21">
        <f>IF(OR(B14="",F14="",G14=""),"",IF(OR(F14&lt;&gt;"Buka",G14&lt;&gt;"Coffee shop/kafe"),0,IF(OR(H14="",I14=""),"",IF(AND(H14="Ya",I14&lt;&gt;"Tidak ada"),1,0))))</f>
        <v/>
      </c>
    </row>
    <row r="15">
      <c r="A15" t="n">
        <v>14</v>
      </c>
      <c r="B15" s="19" t="n"/>
      <c r="C15" s="19" t="n"/>
      <c r="D15" s="19" t="n"/>
      <c r="E15" s="20" t="n"/>
      <c r="F15" s="19" t="n"/>
      <c r="G15" s="19" t="n"/>
      <c r="H15" s="19" t="n"/>
      <c r="I15" s="19" t="n"/>
      <c r="J15" s="19" t="n"/>
      <c r="K15" s="19" t="n"/>
      <c r="L15" s="19" t="n"/>
      <c r="M15" s="21">
        <f>IF(OR(B15="",F15="",G15=""),"",IF(OR(F15&lt;&gt;"Buka",G15&lt;&gt;"Coffee shop/kafe"),0,IF(OR(H15="",I15=""),"",IF(AND(H15="Ya",I15&lt;&gt;"Tidak ada"),1,0))))</f>
        <v/>
      </c>
    </row>
    <row r="16">
      <c r="A16" t="n">
        <v>15</v>
      </c>
      <c r="B16" s="19" t="n"/>
      <c r="C16" s="19" t="n"/>
      <c r="D16" s="19" t="n"/>
      <c r="E16" s="20" t="n"/>
      <c r="F16" s="19" t="n"/>
      <c r="G16" s="19" t="n"/>
      <c r="H16" s="19" t="n"/>
      <c r="I16" s="19" t="n"/>
      <c r="J16" s="19" t="n"/>
      <c r="K16" s="19" t="n"/>
      <c r="L16" s="19" t="n"/>
      <c r="M16" s="21">
        <f>IF(OR(B16="",F16="",G16=""),"",IF(OR(F16&lt;&gt;"Buka",G16&lt;&gt;"Coffee shop/kafe"),0,IF(OR(H16="",I16=""),"",IF(AND(H16="Ya",I16&lt;&gt;"Tidak ada"),1,0))))</f>
        <v/>
      </c>
    </row>
    <row r="17">
      <c r="A17" t="n">
        <v>16</v>
      </c>
      <c r="B17" s="19" t="n"/>
      <c r="C17" s="19" t="n"/>
      <c r="D17" s="19" t="n"/>
      <c r="E17" s="20" t="n"/>
      <c r="F17" s="19" t="n"/>
      <c r="G17" s="19" t="n"/>
      <c r="H17" s="19" t="n"/>
      <c r="I17" s="19" t="n"/>
      <c r="J17" s="19" t="n"/>
      <c r="K17" s="19" t="n"/>
      <c r="L17" s="19" t="n"/>
      <c r="M17" s="21">
        <f>IF(OR(B17="",F17="",G17=""),"",IF(OR(F17&lt;&gt;"Buka",G17&lt;&gt;"Coffee shop/kafe"),0,IF(OR(H17="",I17=""),"",IF(AND(H17="Ya",I17&lt;&gt;"Tidak ada"),1,0))))</f>
        <v/>
      </c>
    </row>
    <row r="18">
      <c r="A18" t="n">
        <v>17</v>
      </c>
      <c r="B18" s="19" t="n"/>
      <c r="C18" s="19" t="n"/>
      <c r="D18" s="19" t="n"/>
      <c r="E18" s="20" t="n"/>
      <c r="F18" s="19" t="n"/>
      <c r="G18" s="19" t="n"/>
      <c r="H18" s="19" t="n"/>
      <c r="I18" s="19" t="n"/>
      <c r="J18" s="19" t="n"/>
      <c r="K18" s="19" t="n"/>
      <c r="L18" s="19" t="n"/>
      <c r="M18" s="21">
        <f>IF(OR(B18="",F18="",G18=""),"",IF(OR(F18&lt;&gt;"Buka",G18&lt;&gt;"Coffee shop/kafe"),0,IF(OR(H18="",I18=""),"",IF(AND(H18="Ya",I18&lt;&gt;"Tidak ada"),1,0))))</f>
        <v/>
      </c>
    </row>
    <row r="19">
      <c r="A19" t="n">
        <v>18</v>
      </c>
      <c r="B19" s="19" t="n"/>
      <c r="C19" s="19" t="n"/>
      <c r="D19" s="19" t="n"/>
      <c r="E19" s="20" t="n"/>
      <c r="F19" s="19" t="n"/>
      <c r="G19" s="19" t="n"/>
      <c r="H19" s="19" t="n"/>
      <c r="I19" s="19" t="n"/>
      <c r="J19" s="19" t="n"/>
      <c r="K19" s="19" t="n"/>
      <c r="L19" s="19" t="n"/>
      <c r="M19" s="21">
        <f>IF(OR(B19="",F19="",G19=""),"",IF(OR(F19&lt;&gt;"Buka",G19&lt;&gt;"Coffee shop/kafe"),0,IF(OR(H19="",I19=""),"",IF(AND(H19="Ya",I19&lt;&gt;"Tidak ada"),1,0))))</f>
        <v/>
      </c>
    </row>
    <row r="20">
      <c r="A20" t="n">
        <v>19</v>
      </c>
      <c r="B20" s="19" t="n"/>
      <c r="C20" s="19" t="n"/>
      <c r="D20" s="19" t="n"/>
      <c r="E20" s="20" t="n"/>
      <c r="F20" s="19" t="n"/>
      <c r="G20" s="19" t="n"/>
      <c r="H20" s="19" t="n"/>
      <c r="I20" s="19" t="n"/>
      <c r="J20" s="19" t="n"/>
      <c r="K20" s="19" t="n"/>
      <c r="L20" s="19" t="n"/>
      <c r="M20" s="21">
        <f>IF(OR(B20="",F20="",G20=""),"",IF(OR(F20&lt;&gt;"Buka",G20&lt;&gt;"Coffee shop/kafe"),0,IF(OR(H20="",I20=""),"",IF(AND(H20="Ya",I20&lt;&gt;"Tidak ada"),1,0))))</f>
        <v/>
      </c>
    </row>
    <row r="21">
      <c r="A21" t="n">
        <v>20</v>
      </c>
      <c r="B21" s="19" t="n"/>
      <c r="C21" s="19" t="n"/>
      <c r="D21" s="19" t="n"/>
      <c r="E21" s="20" t="n"/>
      <c r="F21" s="19" t="n"/>
      <c r="G21" s="19" t="n"/>
      <c r="H21" s="19" t="n"/>
      <c r="I21" s="19" t="n"/>
      <c r="J21" s="19" t="n"/>
      <c r="K21" s="19" t="n"/>
      <c r="L21" s="19" t="n"/>
      <c r="M21" s="21">
        <f>IF(OR(B21="",F21="",G21=""),"",IF(OR(F21&lt;&gt;"Buka",G21&lt;&gt;"Coffee shop/kafe"),0,IF(OR(H21="",I21=""),"",IF(AND(H21="Ya",I21&lt;&gt;"Tidak ada"),1,0))))</f>
        <v/>
      </c>
    </row>
    <row r="22">
      <c r="A22" t="n">
        <v>21</v>
      </c>
      <c r="B22" s="19" t="n"/>
      <c r="C22" s="19" t="n"/>
      <c r="D22" s="19" t="n"/>
      <c r="E22" s="20" t="n"/>
      <c r="F22" s="19" t="n"/>
      <c r="G22" s="19" t="n"/>
      <c r="H22" s="19" t="n"/>
      <c r="I22" s="19" t="n"/>
      <c r="J22" s="19" t="n"/>
      <c r="K22" s="19" t="n"/>
      <c r="L22" s="19" t="n"/>
      <c r="M22" s="21">
        <f>IF(OR(B22="",F22="",G22=""),"",IF(OR(F22&lt;&gt;"Buka",G22&lt;&gt;"Coffee shop/kafe"),0,IF(OR(H22="",I22=""),"",IF(AND(H22="Ya",I22&lt;&gt;"Tidak ada"),1,0))))</f>
        <v/>
      </c>
    </row>
    <row r="23">
      <c r="A23" t="n">
        <v>22</v>
      </c>
      <c r="B23" s="19" t="n"/>
      <c r="C23" s="19" t="n"/>
      <c r="D23" s="19" t="n"/>
      <c r="E23" s="20" t="n"/>
      <c r="F23" s="19" t="n"/>
      <c r="G23" s="19" t="n"/>
      <c r="H23" s="19" t="n"/>
      <c r="I23" s="19" t="n"/>
      <c r="J23" s="19" t="n"/>
      <c r="K23" s="19" t="n"/>
      <c r="L23" s="19" t="n"/>
      <c r="M23" s="21">
        <f>IF(OR(B23="",F23="",G23=""),"",IF(OR(F23&lt;&gt;"Buka",G23&lt;&gt;"Coffee shop/kafe"),0,IF(OR(H23="",I23=""),"",IF(AND(H23="Ya",I23&lt;&gt;"Tidak ada"),1,0))))</f>
        <v/>
      </c>
    </row>
    <row r="24">
      <c r="A24" t="n">
        <v>23</v>
      </c>
      <c r="B24" s="19" t="n"/>
      <c r="C24" s="19" t="n"/>
      <c r="D24" s="19" t="n"/>
      <c r="E24" s="20" t="n"/>
      <c r="F24" s="19" t="n"/>
      <c r="G24" s="19" t="n"/>
      <c r="H24" s="19" t="n"/>
      <c r="I24" s="19" t="n"/>
      <c r="J24" s="19" t="n"/>
      <c r="K24" s="19" t="n"/>
      <c r="L24" s="19" t="n"/>
      <c r="M24" s="21">
        <f>IF(OR(B24="",F24="",G24=""),"",IF(OR(F24&lt;&gt;"Buka",G24&lt;&gt;"Coffee shop/kafe"),0,IF(OR(H24="",I24=""),"",IF(AND(H24="Ya",I24&lt;&gt;"Tidak ada"),1,0))))</f>
        <v/>
      </c>
    </row>
    <row r="25">
      <c r="A25" t="n">
        <v>24</v>
      </c>
      <c r="B25" s="19" t="n"/>
      <c r="C25" s="19" t="n"/>
      <c r="D25" s="19" t="n"/>
      <c r="E25" s="20" t="n"/>
      <c r="F25" s="19" t="n"/>
      <c r="G25" s="19" t="n"/>
      <c r="H25" s="19" t="n"/>
      <c r="I25" s="19" t="n"/>
      <c r="J25" s="19" t="n"/>
      <c r="K25" s="19" t="n"/>
      <c r="L25" s="19" t="n"/>
      <c r="M25" s="21">
        <f>IF(OR(B25="",F25="",G25=""),"",IF(OR(F25&lt;&gt;"Buka",G25&lt;&gt;"Coffee shop/kafe"),0,IF(OR(H25="",I25=""),"",IF(AND(H25="Ya",I25&lt;&gt;"Tidak ada"),1,0))))</f>
        <v/>
      </c>
    </row>
    <row r="26">
      <c r="A26" t="n">
        <v>25</v>
      </c>
      <c r="B26" s="19" t="n"/>
      <c r="C26" s="19" t="n"/>
      <c r="D26" s="19" t="n"/>
      <c r="E26" s="20" t="n"/>
      <c r="F26" s="19" t="n"/>
      <c r="G26" s="19" t="n"/>
      <c r="H26" s="19" t="n"/>
      <c r="I26" s="19" t="n"/>
      <c r="J26" s="19" t="n"/>
      <c r="K26" s="19" t="n"/>
      <c r="L26" s="19" t="n"/>
      <c r="M26" s="21">
        <f>IF(OR(B26="",F26="",G26=""),"",IF(OR(F26&lt;&gt;"Buka",G26&lt;&gt;"Coffee shop/kafe"),0,IF(OR(H26="",I26=""),"",IF(AND(H26="Ya",I26&lt;&gt;"Tidak ada"),1,0))))</f>
        <v/>
      </c>
    </row>
    <row r="27">
      <c r="A27" t="n">
        <v>26</v>
      </c>
      <c r="B27" s="19" t="n"/>
      <c r="C27" s="19" t="n"/>
      <c r="D27" s="19" t="n"/>
      <c r="E27" s="20" t="n"/>
      <c r="F27" s="19" t="n"/>
      <c r="G27" s="19" t="n"/>
      <c r="H27" s="19" t="n"/>
      <c r="I27" s="19" t="n"/>
      <c r="J27" s="19" t="n"/>
      <c r="K27" s="19" t="n"/>
      <c r="L27" s="19" t="n"/>
      <c r="M27" s="21">
        <f>IF(OR(B27="",F27="",G27=""),"",IF(OR(F27&lt;&gt;"Buka",G27&lt;&gt;"Coffee shop/kafe"),0,IF(OR(H27="",I27=""),"",IF(AND(H27="Ya",I27&lt;&gt;"Tidak ada"),1,0))))</f>
        <v/>
      </c>
    </row>
    <row r="28">
      <c r="A28" t="n">
        <v>27</v>
      </c>
      <c r="B28" s="19" t="n"/>
      <c r="C28" s="19" t="n"/>
      <c r="D28" s="19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21">
        <f>IF(OR(B28="",F28="",G28=""),"",IF(OR(F28&lt;&gt;"Buka",G28&lt;&gt;"Coffee shop/kafe"),0,IF(OR(H28="",I28=""),"",IF(AND(H28="Ya",I28&lt;&gt;"Tidak ada"),1,0))))</f>
        <v/>
      </c>
    </row>
    <row r="29">
      <c r="A29" t="n">
        <v>28</v>
      </c>
      <c r="B29" s="19" t="n"/>
      <c r="C29" s="19" t="n"/>
      <c r="D29" s="19" t="n"/>
      <c r="E29" s="20" t="n"/>
      <c r="F29" s="19" t="n"/>
      <c r="G29" s="19" t="n"/>
      <c r="H29" s="19" t="n"/>
      <c r="I29" s="19" t="n"/>
      <c r="J29" s="19" t="n"/>
      <c r="K29" s="19" t="n"/>
      <c r="L29" s="19" t="n"/>
      <c r="M29" s="21">
        <f>IF(OR(B29="",F29="",G29=""),"",IF(OR(F29&lt;&gt;"Buka",G29&lt;&gt;"Coffee shop/kafe"),0,IF(OR(H29="",I29=""),"",IF(AND(H29="Ya",I29&lt;&gt;"Tidak ada"),1,0))))</f>
        <v/>
      </c>
    </row>
    <row r="30">
      <c r="A30" t="n">
        <v>29</v>
      </c>
      <c r="B30" s="19" t="n"/>
      <c r="C30" s="19" t="n"/>
      <c r="D30" s="19" t="n"/>
      <c r="E30" s="20" t="n"/>
      <c r="F30" s="19" t="n"/>
      <c r="G30" s="19" t="n"/>
      <c r="H30" s="19" t="n"/>
      <c r="I30" s="19" t="n"/>
      <c r="J30" s="19" t="n"/>
      <c r="K30" s="19" t="n"/>
      <c r="L30" s="19" t="n"/>
      <c r="M30" s="21">
        <f>IF(OR(B30="",F30="",G30=""),"",IF(OR(F30&lt;&gt;"Buka",G30&lt;&gt;"Coffee shop/kafe"),0,IF(OR(H30="",I30=""),"",IF(AND(H30="Ya",I30&lt;&gt;"Tidak ada"),1,0))))</f>
        <v/>
      </c>
    </row>
    <row r="31">
      <c r="A31" t="n">
        <v>30</v>
      </c>
      <c r="B31" s="19" t="n"/>
      <c r="C31" s="19" t="n"/>
      <c r="D31" s="19" t="n"/>
      <c r="E31" s="20" t="n"/>
      <c r="F31" s="19" t="n"/>
      <c r="G31" s="19" t="n"/>
      <c r="H31" s="19" t="n"/>
      <c r="I31" s="19" t="n"/>
      <c r="J31" s="19" t="n"/>
      <c r="K31" s="19" t="n"/>
      <c r="L31" s="19" t="n"/>
      <c r="M31" s="21">
        <f>IF(OR(B31="",F31="",G31=""),"",IF(OR(F31&lt;&gt;"Buka",G31&lt;&gt;"Coffee shop/kafe"),0,IF(OR(H31="",I31=""),"",IF(AND(H31="Ya",I31&lt;&gt;"Tidak ada"),1,0))))</f>
        <v/>
      </c>
    </row>
    <row r="32">
      <c r="A32" t="n">
        <v>31</v>
      </c>
      <c r="B32" s="19" t="n"/>
      <c r="C32" s="19" t="n"/>
      <c r="D32" s="19" t="n"/>
      <c r="E32" s="20" t="n"/>
      <c r="F32" s="19" t="n"/>
      <c r="G32" s="19" t="n"/>
      <c r="H32" s="19" t="n"/>
      <c r="I32" s="19" t="n"/>
      <c r="J32" s="19" t="n"/>
      <c r="K32" s="19" t="n"/>
      <c r="L32" s="19" t="n"/>
      <c r="M32" s="21">
        <f>IF(OR(B32="",F32="",G32=""),"",IF(OR(F32&lt;&gt;"Buka",G32&lt;&gt;"Coffee shop/kafe"),0,IF(OR(H32="",I32=""),"",IF(AND(H32="Ya",I32&lt;&gt;"Tidak ada"),1,0))))</f>
        <v/>
      </c>
    </row>
    <row r="33">
      <c r="A33" t="n">
        <v>32</v>
      </c>
      <c r="B33" s="19" t="n"/>
      <c r="C33" s="19" t="n"/>
      <c r="D33" s="19" t="n"/>
      <c r="E33" s="20" t="n"/>
      <c r="F33" s="19" t="n"/>
      <c r="G33" s="19" t="n"/>
      <c r="H33" s="19" t="n"/>
      <c r="I33" s="19" t="n"/>
      <c r="J33" s="19" t="n"/>
      <c r="K33" s="19" t="n"/>
      <c r="L33" s="19" t="n"/>
      <c r="M33" s="21">
        <f>IF(OR(B33="",F33="",G33=""),"",IF(OR(F33&lt;&gt;"Buka",G33&lt;&gt;"Coffee shop/kafe"),0,IF(OR(H33="",I33=""),"",IF(AND(H33="Ya",I33&lt;&gt;"Tidak ada"),1,0))))</f>
        <v/>
      </c>
    </row>
    <row r="34">
      <c r="A34" t="n">
        <v>33</v>
      </c>
      <c r="B34" s="19" t="n"/>
      <c r="C34" s="19" t="n"/>
      <c r="D34" s="19" t="n"/>
      <c r="E34" s="20" t="n"/>
      <c r="F34" s="19" t="n"/>
      <c r="G34" s="19" t="n"/>
      <c r="H34" s="19" t="n"/>
      <c r="I34" s="19" t="n"/>
      <c r="J34" s="19" t="n"/>
      <c r="K34" s="19" t="n"/>
      <c r="L34" s="19" t="n"/>
      <c r="M34" s="21">
        <f>IF(OR(B34="",F34="",G34=""),"",IF(OR(F34&lt;&gt;"Buka",G34&lt;&gt;"Coffee shop/kafe"),0,IF(OR(H34="",I34=""),"",IF(AND(H34="Ya",I34&lt;&gt;"Tidak ada"),1,0))))</f>
        <v/>
      </c>
    </row>
    <row r="35">
      <c r="A35" t="n">
        <v>34</v>
      </c>
      <c r="B35" s="19" t="n"/>
      <c r="C35" s="19" t="n"/>
      <c r="D35" s="19" t="n"/>
      <c r="E35" s="20" t="n"/>
      <c r="F35" s="19" t="n"/>
      <c r="G35" s="19" t="n"/>
      <c r="H35" s="19" t="n"/>
      <c r="I35" s="19" t="n"/>
      <c r="J35" s="19" t="n"/>
      <c r="K35" s="19" t="n"/>
      <c r="L35" s="19" t="n"/>
      <c r="M35" s="21">
        <f>IF(OR(B35="",F35="",G35=""),"",IF(OR(F35&lt;&gt;"Buka",G35&lt;&gt;"Coffee shop/kafe"),0,IF(OR(H35="",I35=""),"",IF(AND(H35="Ya",I35&lt;&gt;"Tidak ada"),1,0))))</f>
        <v/>
      </c>
    </row>
    <row r="36">
      <c r="A36" t="n">
        <v>35</v>
      </c>
      <c r="B36" s="19" t="n"/>
      <c r="C36" s="19" t="n"/>
      <c r="D36" s="19" t="n"/>
      <c r="E36" s="20" t="n"/>
      <c r="F36" s="19" t="n"/>
      <c r="G36" s="19" t="n"/>
      <c r="H36" s="19" t="n"/>
      <c r="I36" s="19" t="n"/>
      <c r="J36" s="19" t="n"/>
      <c r="K36" s="19" t="n"/>
      <c r="L36" s="19" t="n"/>
      <c r="M36" s="21">
        <f>IF(OR(B36="",F36="",G36=""),"",IF(OR(F36&lt;&gt;"Buka",G36&lt;&gt;"Coffee shop/kafe"),0,IF(OR(H36="",I36=""),"",IF(AND(H36="Ya",I36&lt;&gt;"Tidak ada"),1,0))))</f>
        <v/>
      </c>
    </row>
    <row r="37">
      <c r="A37" t="n">
        <v>36</v>
      </c>
      <c r="B37" s="19" t="n"/>
      <c r="C37" s="19" t="n"/>
      <c r="D37" s="19" t="n"/>
      <c r="E37" s="20" t="n"/>
      <c r="F37" s="19" t="n"/>
      <c r="G37" s="19" t="n"/>
      <c r="H37" s="19" t="n"/>
      <c r="I37" s="19" t="n"/>
      <c r="J37" s="19" t="n"/>
      <c r="K37" s="19" t="n"/>
      <c r="L37" s="19" t="n"/>
      <c r="M37" s="21">
        <f>IF(OR(B37="",F37="",G37=""),"",IF(OR(F37&lt;&gt;"Buka",G37&lt;&gt;"Coffee shop/kafe"),0,IF(OR(H37="",I37=""),"",IF(AND(H37="Ya",I37&lt;&gt;"Tidak ada"),1,0))))</f>
        <v/>
      </c>
    </row>
    <row r="38">
      <c r="A38" t="n">
        <v>37</v>
      </c>
      <c r="B38" s="19" t="n"/>
      <c r="C38" s="19" t="n"/>
      <c r="D38" s="19" t="n"/>
      <c r="E38" s="20" t="n"/>
      <c r="F38" s="19" t="n"/>
      <c r="G38" s="19" t="n"/>
      <c r="H38" s="19" t="n"/>
      <c r="I38" s="19" t="n"/>
      <c r="J38" s="19" t="n"/>
      <c r="K38" s="19" t="n"/>
      <c r="L38" s="19" t="n"/>
      <c r="M38" s="21">
        <f>IF(OR(B38="",F38="",G38=""),"",IF(OR(F38&lt;&gt;"Buka",G38&lt;&gt;"Coffee shop/kafe"),0,IF(OR(H38="",I38=""),"",IF(AND(H38="Ya",I38&lt;&gt;"Tidak ada"),1,0))))</f>
        <v/>
      </c>
    </row>
    <row r="39">
      <c r="A39" t="n">
        <v>38</v>
      </c>
      <c r="B39" s="19" t="n"/>
      <c r="C39" s="19" t="n"/>
      <c r="D39" s="19" t="n"/>
      <c r="E39" s="20" t="n"/>
      <c r="F39" s="19" t="n"/>
      <c r="G39" s="19" t="n"/>
      <c r="H39" s="19" t="n"/>
      <c r="I39" s="19" t="n"/>
      <c r="J39" s="19" t="n"/>
      <c r="K39" s="19" t="n"/>
      <c r="L39" s="19" t="n"/>
      <c r="M39" s="21">
        <f>IF(OR(B39="",F39="",G39=""),"",IF(OR(F39&lt;&gt;"Buka",G39&lt;&gt;"Coffee shop/kafe"),0,IF(OR(H39="",I39=""),"",IF(AND(H39="Ya",I39&lt;&gt;"Tidak ada"),1,0))))</f>
        <v/>
      </c>
    </row>
    <row r="40">
      <c r="A40" t="n">
        <v>39</v>
      </c>
      <c r="B40" s="19" t="n"/>
      <c r="C40" s="19" t="n"/>
      <c r="D40" s="19" t="n"/>
      <c r="E40" s="20" t="n"/>
      <c r="F40" s="19" t="n"/>
      <c r="G40" s="19" t="n"/>
      <c r="H40" s="19" t="n"/>
      <c r="I40" s="19" t="n"/>
      <c r="J40" s="19" t="n"/>
      <c r="K40" s="19" t="n"/>
      <c r="L40" s="19" t="n"/>
      <c r="M40" s="21">
        <f>IF(OR(B40="",F40="",G40=""),"",IF(OR(F40&lt;&gt;"Buka",G40&lt;&gt;"Coffee shop/kafe"),0,IF(OR(H40="",I40=""),"",IF(AND(H40="Ya",I40&lt;&gt;"Tidak ada"),1,0))))</f>
        <v/>
      </c>
    </row>
    <row r="41">
      <c r="A41" t="n">
        <v>40</v>
      </c>
      <c r="B41" s="19" t="n"/>
      <c r="C41" s="19" t="n"/>
      <c r="D41" s="19" t="n"/>
      <c r="E41" s="20" t="n"/>
      <c r="F41" s="19" t="n"/>
      <c r="G41" s="19" t="n"/>
      <c r="H41" s="19" t="n"/>
      <c r="I41" s="19" t="n"/>
      <c r="J41" s="19" t="n"/>
      <c r="K41" s="19" t="n"/>
      <c r="L41" s="19" t="n"/>
      <c r="M41" s="21">
        <f>IF(OR(B41="",F41="",G41=""),"",IF(OR(F41&lt;&gt;"Buka",G41&lt;&gt;"Coffee shop/kafe"),0,IF(OR(H41="",I41=""),"",IF(AND(H41="Ya",I41&lt;&gt;"Tidak ada"),1,0))))</f>
        <v/>
      </c>
    </row>
    <row r="42">
      <c r="A42" t="n">
        <v>41</v>
      </c>
      <c r="B42" s="19" t="n"/>
      <c r="C42" s="19" t="n"/>
      <c r="D42" s="19" t="n"/>
      <c r="E42" s="20" t="n"/>
      <c r="F42" s="19" t="n"/>
      <c r="G42" s="19" t="n"/>
      <c r="H42" s="19" t="n"/>
      <c r="I42" s="19" t="n"/>
      <c r="J42" s="19" t="n"/>
      <c r="K42" s="19" t="n"/>
      <c r="L42" s="19" t="n"/>
      <c r="M42" s="21">
        <f>IF(OR(B42="",F42="",G42=""),"",IF(OR(F42&lt;&gt;"Buka",G42&lt;&gt;"Coffee shop/kafe"),0,IF(OR(H42="",I42=""),"",IF(AND(H42="Ya",I42&lt;&gt;"Tidak ada"),1,0))))</f>
        <v/>
      </c>
    </row>
    <row r="43">
      <c r="A43" t="n">
        <v>42</v>
      </c>
      <c r="B43" s="19" t="n"/>
      <c r="C43" s="19" t="n"/>
      <c r="D43" s="19" t="n"/>
      <c r="E43" s="20" t="n"/>
      <c r="F43" s="19" t="n"/>
      <c r="G43" s="19" t="n"/>
      <c r="H43" s="19" t="n"/>
      <c r="I43" s="19" t="n"/>
      <c r="J43" s="19" t="n"/>
      <c r="K43" s="19" t="n"/>
      <c r="L43" s="19" t="n"/>
      <c r="M43" s="21">
        <f>IF(OR(B43="",F43="",G43=""),"",IF(OR(F43&lt;&gt;"Buka",G43&lt;&gt;"Coffee shop/kafe"),0,IF(OR(H43="",I43=""),"",IF(AND(H43="Ya",I43&lt;&gt;"Tidak ada"),1,0))))</f>
        <v/>
      </c>
    </row>
    <row r="44">
      <c r="A44" t="n">
        <v>43</v>
      </c>
      <c r="B44" s="19" t="n"/>
      <c r="C44" s="19" t="n"/>
      <c r="D44" s="19" t="n"/>
      <c r="E44" s="20" t="n"/>
      <c r="F44" s="19" t="n"/>
      <c r="G44" s="19" t="n"/>
      <c r="H44" s="19" t="n"/>
      <c r="I44" s="19" t="n"/>
      <c r="J44" s="19" t="n"/>
      <c r="K44" s="19" t="n"/>
      <c r="L44" s="19" t="n"/>
      <c r="M44" s="21">
        <f>IF(OR(B44="",F44="",G44=""),"",IF(OR(F44&lt;&gt;"Buka",G44&lt;&gt;"Coffee shop/kafe"),0,IF(OR(H44="",I44=""),"",IF(AND(H44="Ya",I44&lt;&gt;"Tidak ada"),1,0))))</f>
        <v/>
      </c>
    </row>
    <row r="45">
      <c r="A45" t="n">
        <v>44</v>
      </c>
      <c r="B45" s="19" t="n"/>
      <c r="C45" s="19" t="n"/>
      <c r="D45" s="19" t="n"/>
      <c r="E45" s="20" t="n"/>
      <c r="F45" s="19" t="n"/>
      <c r="G45" s="19" t="n"/>
      <c r="H45" s="19" t="n"/>
      <c r="I45" s="19" t="n"/>
      <c r="J45" s="19" t="n"/>
      <c r="K45" s="19" t="n"/>
      <c r="L45" s="19" t="n"/>
      <c r="M45" s="21">
        <f>IF(OR(B45="",F45="",G45=""),"",IF(OR(F45&lt;&gt;"Buka",G45&lt;&gt;"Coffee shop/kafe"),0,IF(OR(H45="",I45=""),"",IF(AND(H45="Ya",I45&lt;&gt;"Tidak ada"),1,0))))</f>
        <v/>
      </c>
    </row>
    <row r="46">
      <c r="A46" t="n">
        <v>45</v>
      </c>
      <c r="B46" s="19" t="n"/>
      <c r="C46" s="19" t="n"/>
      <c r="D46" s="19" t="n"/>
      <c r="E46" s="20" t="n"/>
      <c r="F46" s="19" t="n"/>
      <c r="G46" s="19" t="n"/>
      <c r="H46" s="19" t="n"/>
      <c r="I46" s="19" t="n"/>
      <c r="J46" s="19" t="n"/>
      <c r="K46" s="19" t="n"/>
      <c r="L46" s="19" t="n"/>
      <c r="M46" s="21">
        <f>IF(OR(B46="",F46="",G46=""),"",IF(OR(F46&lt;&gt;"Buka",G46&lt;&gt;"Coffee shop/kafe"),0,IF(OR(H46="",I46=""),"",IF(AND(H46="Ya",I46&lt;&gt;"Tidak ada"),1,0))))</f>
        <v/>
      </c>
    </row>
    <row r="47">
      <c r="A47" t="n">
        <v>46</v>
      </c>
      <c r="B47" s="19" t="n"/>
      <c r="C47" s="19" t="n"/>
      <c r="D47" s="19" t="n"/>
      <c r="E47" s="20" t="n"/>
      <c r="F47" s="19" t="n"/>
      <c r="G47" s="19" t="n"/>
      <c r="H47" s="19" t="n"/>
      <c r="I47" s="19" t="n"/>
      <c r="J47" s="19" t="n"/>
      <c r="K47" s="19" t="n"/>
      <c r="L47" s="19" t="n"/>
      <c r="M47" s="21">
        <f>IF(OR(B47="",F47="",G47=""),"",IF(OR(F47&lt;&gt;"Buka",G47&lt;&gt;"Coffee shop/kafe"),0,IF(OR(H47="",I47=""),"",IF(AND(H47="Ya",I47&lt;&gt;"Tidak ada"),1,0))))</f>
        <v/>
      </c>
    </row>
    <row r="48">
      <c r="A48" t="n">
        <v>47</v>
      </c>
      <c r="B48" s="19" t="n"/>
      <c r="C48" s="19" t="n"/>
      <c r="D48" s="19" t="n"/>
      <c r="E48" s="20" t="n"/>
      <c r="F48" s="19" t="n"/>
      <c r="G48" s="19" t="n"/>
      <c r="H48" s="19" t="n"/>
      <c r="I48" s="19" t="n"/>
      <c r="J48" s="19" t="n"/>
      <c r="K48" s="19" t="n"/>
      <c r="L48" s="19" t="n"/>
      <c r="M48" s="21">
        <f>IF(OR(B48="",F48="",G48=""),"",IF(OR(F48&lt;&gt;"Buka",G48&lt;&gt;"Coffee shop/kafe"),0,IF(OR(H48="",I48=""),"",IF(AND(H48="Ya",I48&lt;&gt;"Tidak ada"),1,0))))</f>
        <v/>
      </c>
    </row>
    <row r="49">
      <c r="A49" t="n">
        <v>48</v>
      </c>
      <c r="B49" s="19" t="n"/>
      <c r="C49" s="19" t="n"/>
      <c r="D49" s="19" t="n"/>
      <c r="E49" s="20" t="n"/>
      <c r="F49" s="19" t="n"/>
      <c r="G49" s="19" t="n"/>
      <c r="H49" s="19" t="n"/>
      <c r="I49" s="19" t="n"/>
      <c r="J49" s="19" t="n"/>
      <c r="K49" s="19" t="n"/>
      <c r="L49" s="19" t="n"/>
      <c r="M49" s="21">
        <f>IF(OR(B49="",F49="",G49=""),"",IF(OR(F49&lt;&gt;"Buka",G49&lt;&gt;"Coffee shop/kafe"),0,IF(OR(H49="",I49=""),"",IF(AND(H49="Ya",I49&lt;&gt;"Tidak ada"),1,0))))</f>
        <v/>
      </c>
    </row>
    <row r="50">
      <c r="A50" t="n">
        <v>49</v>
      </c>
      <c r="B50" s="19" t="n"/>
      <c r="C50" s="19" t="n"/>
      <c r="D50" s="19" t="n"/>
      <c r="E50" s="20" t="n"/>
      <c r="F50" s="19" t="n"/>
      <c r="G50" s="19" t="n"/>
      <c r="H50" s="19" t="n"/>
      <c r="I50" s="19" t="n"/>
      <c r="J50" s="19" t="n"/>
      <c r="K50" s="19" t="n"/>
      <c r="L50" s="19" t="n"/>
      <c r="M50" s="21">
        <f>IF(OR(B50="",F50="",G50=""),"",IF(OR(F50&lt;&gt;"Buka",G50&lt;&gt;"Coffee shop/kafe"),0,IF(OR(H50="",I50=""),"",IF(AND(H50="Ya",I50&lt;&gt;"Tidak ada"),1,0))))</f>
        <v/>
      </c>
    </row>
    <row r="51">
      <c r="A51" t="n">
        <v>50</v>
      </c>
      <c r="B51" s="19" t="n"/>
      <c r="C51" s="19" t="n"/>
      <c r="D51" s="19" t="n"/>
      <c r="E51" s="20" t="n"/>
      <c r="F51" s="19" t="n"/>
      <c r="G51" s="19" t="n"/>
      <c r="H51" s="19" t="n"/>
      <c r="I51" s="19" t="n"/>
      <c r="J51" s="19" t="n"/>
      <c r="K51" s="19" t="n"/>
      <c r="L51" s="19" t="n"/>
      <c r="M51" s="21">
        <f>IF(OR(B51="",F51="",G51=""),"",IF(OR(F51&lt;&gt;"Buka",G51&lt;&gt;"Coffee shop/kafe"),0,IF(OR(H51="",I51=""),"",IF(AND(H51="Ya",I51&lt;&gt;"Tidak ada"),1,0))))</f>
        <v/>
      </c>
    </row>
    <row r="52">
      <c r="A52" t="n">
        <v>51</v>
      </c>
      <c r="B52" s="19" t="n"/>
      <c r="C52" s="19" t="n"/>
      <c r="D52" s="19" t="n"/>
      <c r="E52" s="20" t="n"/>
      <c r="F52" s="19" t="n"/>
      <c r="G52" s="19" t="n"/>
      <c r="H52" s="19" t="n"/>
      <c r="I52" s="19" t="n"/>
      <c r="J52" s="19" t="n"/>
      <c r="K52" s="19" t="n"/>
      <c r="L52" s="19" t="n"/>
      <c r="M52" s="21">
        <f>IF(OR(B52="",F52="",G52=""),"",IF(OR(F52&lt;&gt;"Buka",G52&lt;&gt;"Coffee shop/kafe"),0,IF(OR(H52="",I52=""),"",IF(AND(H52="Ya",I52&lt;&gt;"Tidak ada"),1,0))))</f>
        <v/>
      </c>
    </row>
    <row r="53">
      <c r="A53" t="n">
        <v>52</v>
      </c>
      <c r="B53" s="19" t="n"/>
      <c r="C53" s="19" t="n"/>
      <c r="D53" s="19" t="n"/>
      <c r="E53" s="20" t="n"/>
      <c r="F53" s="19" t="n"/>
      <c r="G53" s="19" t="n"/>
      <c r="H53" s="19" t="n"/>
      <c r="I53" s="19" t="n"/>
      <c r="J53" s="19" t="n"/>
      <c r="K53" s="19" t="n"/>
      <c r="L53" s="19" t="n"/>
      <c r="M53" s="21">
        <f>IF(OR(B53="",F53="",G53=""),"",IF(OR(F53&lt;&gt;"Buka",G53&lt;&gt;"Coffee shop/kafe"),0,IF(OR(H53="",I53=""),"",IF(AND(H53="Ya",I53&lt;&gt;"Tidak ada"),1,0))))</f>
        <v/>
      </c>
    </row>
    <row r="54">
      <c r="A54" t="n">
        <v>53</v>
      </c>
      <c r="B54" s="19" t="n"/>
      <c r="C54" s="19" t="n"/>
      <c r="D54" s="19" t="n"/>
      <c r="E54" s="20" t="n"/>
      <c r="F54" s="19" t="n"/>
      <c r="G54" s="19" t="n"/>
      <c r="H54" s="19" t="n"/>
      <c r="I54" s="19" t="n"/>
      <c r="J54" s="19" t="n"/>
      <c r="K54" s="19" t="n"/>
      <c r="L54" s="19" t="n"/>
      <c r="M54" s="21">
        <f>IF(OR(B54="",F54="",G54=""),"",IF(OR(F54&lt;&gt;"Buka",G54&lt;&gt;"Coffee shop/kafe"),0,IF(OR(H54="",I54=""),"",IF(AND(H54="Ya",I54&lt;&gt;"Tidak ada"),1,0))))</f>
        <v/>
      </c>
    </row>
    <row r="55">
      <c r="A55" t="n">
        <v>54</v>
      </c>
      <c r="B55" s="19" t="n"/>
      <c r="C55" s="19" t="n"/>
      <c r="D55" s="19" t="n"/>
      <c r="E55" s="20" t="n"/>
      <c r="F55" s="19" t="n"/>
      <c r="G55" s="19" t="n"/>
      <c r="H55" s="19" t="n"/>
      <c r="I55" s="19" t="n"/>
      <c r="J55" s="19" t="n"/>
      <c r="K55" s="19" t="n"/>
      <c r="L55" s="19" t="n"/>
      <c r="M55" s="21">
        <f>IF(OR(B55="",F55="",G55=""),"",IF(OR(F55&lt;&gt;"Buka",G55&lt;&gt;"Coffee shop/kafe"),0,IF(OR(H55="",I55=""),"",IF(AND(H55="Ya",I55&lt;&gt;"Tidak ada"),1,0))))</f>
        <v/>
      </c>
    </row>
    <row r="56">
      <c r="A56" t="n">
        <v>55</v>
      </c>
      <c r="B56" s="19" t="n"/>
      <c r="C56" s="19" t="n"/>
      <c r="D56" s="19" t="n"/>
      <c r="E56" s="20" t="n"/>
      <c r="F56" s="19" t="n"/>
      <c r="G56" s="19" t="n"/>
      <c r="H56" s="19" t="n"/>
      <c r="I56" s="19" t="n"/>
      <c r="J56" s="19" t="n"/>
      <c r="K56" s="19" t="n"/>
      <c r="L56" s="19" t="n"/>
      <c r="M56" s="21">
        <f>IF(OR(B56="",F56="",G56=""),"",IF(OR(F56&lt;&gt;"Buka",G56&lt;&gt;"Coffee shop/kafe"),0,IF(OR(H56="",I56=""),"",IF(AND(H56="Ya",I56&lt;&gt;"Tidak ada"),1,0))))</f>
        <v/>
      </c>
    </row>
    <row r="57">
      <c r="A57" t="n">
        <v>56</v>
      </c>
      <c r="B57" s="19" t="n"/>
      <c r="C57" s="19" t="n"/>
      <c r="D57" s="19" t="n"/>
      <c r="E57" s="20" t="n"/>
      <c r="F57" s="19" t="n"/>
      <c r="G57" s="19" t="n"/>
      <c r="H57" s="19" t="n"/>
      <c r="I57" s="19" t="n"/>
      <c r="J57" s="19" t="n"/>
      <c r="K57" s="19" t="n"/>
      <c r="L57" s="19" t="n"/>
      <c r="M57" s="21">
        <f>IF(OR(B57="",F57="",G57=""),"",IF(OR(F57&lt;&gt;"Buka",G57&lt;&gt;"Coffee shop/kafe"),0,IF(OR(H57="",I57=""),"",IF(AND(H57="Ya",I57&lt;&gt;"Tidak ada"),1,0))))</f>
        <v/>
      </c>
    </row>
    <row r="58">
      <c r="A58" t="n">
        <v>57</v>
      </c>
      <c r="B58" s="19" t="n"/>
      <c r="C58" s="19" t="n"/>
      <c r="D58" s="19" t="n"/>
      <c r="E58" s="20" t="n"/>
      <c r="F58" s="19" t="n"/>
      <c r="G58" s="19" t="n"/>
      <c r="H58" s="19" t="n"/>
      <c r="I58" s="19" t="n"/>
      <c r="J58" s="19" t="n"/>
      <c r="K58" s="19" t="n"/>
      <c r="L58" s="19" t="n"/>
      <c r="M58" s="21">
        <f>IF(OR(B58="",F58="",G58=""),"",IF(OR(F58&lt;&gt;"Buka",G58&lt;&gt;"Coffee shop/kafe"),0,IF(OR(H58="",I58=""),"",IF(AND(H58="Ya",I58&lt;&gt;"Tidak ada"),1,0))))</f>
        <v/>
      </c>
    </row>
    <row r="59">
      <c r="A59" t="n">
        <v>58</v>
      </c>
      <c r="B59" s="19" t="n"/>
      <c r="C59" s="19" t="n"/>
      <c r="D59" s="19" t="n"/>
      <c r="E59" s="20" t="n"/>
      <c r="F59" s="19" t="n"/>
      <c r="G59" s="19" t="n"/>
      <c r="H59" s="19" t="n"/>
      <c r="I59" s="19" t="n"/>
      <c r="J59" s="19" t="n"/>
      <c r="K59" s="19" t="n"/>
      <c r="L59" s="19" t="n"/>
      <c r="M59" s="21">
        <f>IF(OR(B59="",F59="",G59=""),"",IF(OR(F59&lt;&gt;"Buka",G59&lt;&gt;"Coffee shop/kafe"),0,IF(OR(H59="",I59=""),"",IF(AND(H59="Ya",I59&lt;&gt;"Tidak ada"),1,0))))</f>
        <v/>
      </c>
    </row>
    <row r="60">
      <c r="A60" t="n">
        <v>59</v>
      </c>
      <c r="B60" s="19" t="n"/>
      <c r="C60" s="19" t="n"/>
      <c r="D60" s="19" t="n"/>
      <c r="E60" s="20" t="n"/>
      <c r="F60" s="19" t="n"/>
      <c r="G60" s="19" t="n"/>
      <c r="H60" s="19" t="n"/>
      <c r="I60" s="19" t="n"/>
      <c r="J60" s="19" t="n"/>
      <c r="K60" s="19" t="n"/>
      <c r="L60" s="19" t="n"/>
      <c r="M60" s="21">
        <f>IF(OR(B60="",F60="",G60=""),"",IF(OR(F60&lt;&gt;"Buka",G60&lt;&gt;"Coffee shop/kafe"),0,IF(OR(H60="",I60=""),"",IF(AND(H60="Ya",I60&lt;&gt;"Tidak ada"),1,0))))</f>
        <v/>
      </c>
    </row>
    <row r="61">
      <c r="A61" t="n">
        <v>60</v>
      </c>
      <c r="B61" s="19" t="n"/>
      <c r="C61" s="19" t="n"/>
      <c r="D61" s="19" t="n"/>
      <c r="E61" s="20" t="n"/>
      <c r="F61" s="19" t="n"/>
      <c r="G61" s="19" t="n"/>
      <c r="H61" s="19" t="n"/>
      <c r="I61" s="19" t="n"/>
      <c r="J61" s="19" t="n"/>
      <c r="K61" s="19" t="n"/>
      <c r="L61" s="19" t="n"/>
      <c r="M61" s="21">
        <f>IF(OR(B61="",F61="",G61=""),"",IF(OR(F61&lt;&gt;"Buka",G61&lt;&gt;"Coffee shop/kafe"),0,IF(OR(H61="",I61=""),"",IF(AND(H61="Ya",I61&lt;&gt;"Tidak ada"),1,0))))</f>
        <v/>
      </c>
    </row>
    <row r="62">
      <c r="A62" t="n">
        <v>61</v>
      </c>
      <c r="B62" s="19" t="n"/>
      <c r="C62" s="19" t="n"/>
      <c r="D62" s="19" t="n"/>
      <c r="E62" s="20" t="n"/>
      <c r="F62" s="19" t="n"/>
      <c r="G62" s="19" t="n"/>
      <c r="H62" s="19" t="n"/>
      <c r="I62" s="19" t="n"/>
      <c r="J62" s="19" t="n"/>
      <c r="K62" s="19" t="n"/>
      <c r="L62" s="19" t="n"/>
      <c r="M62" s="21">
        <f>IF(OR(B62="",F62="",G62=""),"",IF(OR(F62&lt;&gt;"Buka",G62&lt;&gt;"Coffee shop/kafe"),0,IF(OR(H62="",I62=""),"",IF(AND(H62="Ya",I62&lt;&gt;"Tidak ada"),1,0))))</f>
        <v/>
      </c>
    </row>
    <row r="63">
      <c r="A63" t="n">
        <v>62</v>
      </c>
      <c r="B63" s="19" t="n"/>
      <c r="C63" s="19" t="n"/>
      <c r="D63" s="19" t="n"/>
      <c r="E63" s="20" t="n"/>
      <c r="F63" s="19" t="n"/>
      <c r="G63" s="19" t="n"/>
      <c r="H63" s="19" t="n"/>
      <c r="I63" s="19" t="n"/>
      <c r="J63" s="19" t="n"/>
      <c r="K63" s="19" t="n"/>
      <c r="L63" s="19" t="n"/>
      <c r="M63" s="21">
        <f>IF(OR(B63="",F63="",G63=""),"",IF(OR(F63&lt;&gt;"Buka",G63&lt;&gt;"Coffee shop/kafe"),0,IF(OR(H63="",I63=""),"",IF(AND(H63="Ya",I63&lt;&gt;"Tidak ada"),1,0))))</f>
        <v/>
      </c>
    </row>
    <row r="64">
      <c r="A64" t="n">
        <v>63</v>
      </c>
      <c r="B64" s="19" t="n"/>
      <c r="C64" s="19" t="n"/>
      <c r="D64" s="19" t="n"/>
      <c r="E64" s="20" t="n"/>
      <c r="F64" s="19" t="n"/>
      <c r="G64" s="19" t="n"/>
      <c r="H64" s="19" t="n"/>
      <c r="I64" s="19" t="n"/>
      <c r="J64" s="19" t="n"/>
      <c r="K64" s="19" t="n"/>
      <c r="L64" s="19" t="n"/>
      <c r="M64" s="21">
        <f>IF(OR(B64="",F64="",G64=""),"",IF(OR(F64&lt;&gt;"Buka",G64&lt;&gt;"Coffee shop/kafe"),0,IF(OR(H64="",I64=""),"",IF(AND(H64="Ya",I64&lt;&gt;"Tidak ada"),1,0))))</f>
        <v/>
      </c>
    </row>
    <row r="65">
      <c r="A65" t="n">
        <v>64</v>
      </c>
      <c r="B65" s="19" t="n"/>
      <c r="C65" s="19" t="n"/>
      <c r="D65" s="19" t="n"/>
      <c r="E65" s="20" t="n"/>
      <c r="F65" s="19" t="n"/>
      <c r="G65" s="19" t="n"/>
      <c r="H65" s="19" t="n"/>
      <c r="I65" s="19" t="n"/>
      <c r="J65" s="19" t="n"/>
      <c r="K65" s="19" t="n"/>
      <c r="L65" s="19" t="n"/>
      <c r="M65" s="21">
        <f>IF(OR(B65="",F65="",G65=""),"",IF(OR(F65&lt;&gt;"Buka",G65&lt;&gt;"Coffee shop/kafe"),0,IF(OR(H65="",I65=""),"",IF(AND(H65="Ya",I65&lt;&gt;"Tidak ada"),1,0))))</f>
        <v/>
      </c>
    </row>
    <row r="66">
      <c r="A66" t="n">
        <v>65</v>
      </c>
      <c r="B66" s="19" t="n"/>
      <c r="C66" s="19" t="n"/>
      <c r="D66" s="19" t="n"/>
      <c r="E66" s="20" t="n"/>
      <c r="F66" s="19" t="n"/>
      <c r="G66" s="19" t="n"/>
      <c r="H66" s="19" t="n"/>
      <c r="I66" s="19" t="n"/>
      <c r="J66" s="19" t="n"/>
      <c r="K66" s="19" t="n"/>
      <c r="L66" s="19" t="n"/>
      <c r="M66" s="21">
        <f>IF(OR(B66="",F66="",G66=""),"",IF(OR(F66&lt;&gt;"Buka",G66&lt;&gt;"Coffee shop/kafe"),0,IF(OR(H66="",I66=""),"",IF(AND(H66="Ya",I66&lt;&gt;"Tidak ada"),1,0))))</f>
        <v/>
      </c>
    </row>
    <row r="67">
      <c r="A67" t="n">
        <v>66</v>
      </c>
      <c r="B67" s="19" t="n"/>
      <c r="C67" s="19" t="n"/>
      <c r="D67" s="19" t="n"/>
      <c r="E67" s="20" t="n"/>
      <c r="F67" s="19" t="n"/>
      <c r="G67" s="19" t="n"/>
      <c r="H67" s="19" t="n"/>
      <c r="I67" s="19" t="n"/>
      <c r="J67" s="19" t="n"/>
      <c r="K67" s="19" t="n"/>
      <c r="L67" s="19" t="n"/>
      <c r="M67" s="21">
        <f>IF(OR(B67="",F67="",G67=""),"",IF(OR(F67&lt;&gt;"Buka",G67&lt;&gt;"Coffee shop/kafe"),0,IF(OR(H67="",I67=""),"",IF(AND(H67="Ya",I67&lt;&gt;"Tidak ada"),1,0))))</f>
        <v/>
      </c>
    </row>
    <row r="68">
      <c r="A68" t="n">
        <v>67</v>
      </c>
      <c r="B68" s="19" t="n"/>
      <c r="C68" s="19" t="n"/>
      <c r="D68" s="19" t="n"/>
      <c r="E68" s="20" t="n"/>
      <c r="F68" s="19" t="n"/>
      <c r="G68" s="19" t="n"/>
      <c r="H68" s="19" t="n"/>
      <c r="I68" s="19" t="n"/>
      <c r="J68" s="19" t="n"/>
      <c r="K68" s="19" t="n"/>
      <c r="L68" s="19" t="n"/>
      <c r="M68" s="21">
        <f>IF(OR(B68="",F68="",G68=""),"",IF(OR(F68&lt;&gt;"Buka",G68&lt;&gt;"Coffee shop/kafe"),0,IF(OR(H68="",I68=""),"",IF(AND(H68="Ya",I68&lt;&gt;"Tidak ada"),1,0))))</f>
        <v/>
      </c>
    </row>
    <row r="69">
      <c r="A69" t="n">
        <v>68</v>
      </c>
      <c r="B69" s="19" t="n"/>
      <c r="C69" s="19" t="n"/>
      <c r="D69" s="19" t="n"/>
      <c r="E69" s="20" t="n"/>
      <c r="F69" s="19" t="n"/>
      <c r="G69" s="19" t="n"/>
      <c r="H69" s="19" t="n"/>
      <c r="I69" s="19" t="n"/>
      <c r="J69" s="19" t="n"/>
      <c r="K69" s="19" t="n"/>
      <c r="L69" s="19" t="n"/>
      <c r="M69" s="21">
        <f>IF(OR(B69="",F69="",G69=""),"",IF(OR(F69&lt;&gt;"Buka",G69&lt;&gt;"Coffee shop/kafe"),0,IF(OR(H69="",I69=""),"",IF(AND(H69="Ya",I69&lt;&gt;"Tidak ada"),1,0))))</f>
        <v/>
      </c>
    </row>
    <row r="70">
      <c r="A70" t="n">
        <v>69</v>
      </c>
      <c r="B70" s="19" t="n"/>
      <c r="C70" s="19" t="n"/>
      <c r="D70" s="19" t="n"/>
      <c r="E70" s="20" t="n"/>
      <c r="F70" s="19" t="n"/>
      <c r="G70" s="19" t="n"/>
      <c r="H70" s="19" t="n"/>
      <c r="I70" s="19" t="n"/>
      <c r="J70" s="19" t="n"/>
      <c r="K70" s="19" t="n"/>
      <c r="L70" s="19" t="n"/>
      <c r="M70" s="21">
        <f>IF(OR(B70="",F70="",G70=""),"",IF(OR(F70&lt;&gt;"Buka",G70&lt;&gt;"Coffee shop/kafe"),0,IF(OR(H70="",I70=""),"",IF(AND(H70="Ya",I70&lt;&gt;"Tidak ada"),1,0))))</f>
        <v/>
      </c>
    </row>
    <row r="71">
      <c r="A71" t="n">
        <v>70</v>
      </c>
      <c r="B71" s="19" t="n"/>
      <c r="C71" s="19" t="n"/>
      <c r="D71" s="19" t="n"/>
      <c r="E71" s="20" t="n"/>
      <c r="F71" s="19" t="n"/>
      <c r="G71" s="19" t="n"/>
      <c r="H71" s="19" t="n"/>
      <c r="I71" s="19" t="n"/>
      <c r="J71" s="19" t="n"/>
      <c r="K71" s="19" t="n"/>
      <c r="L71" s="19" t="n"/>
      <c r="M71" s="21">
        <f>IF(OR(B71="",F71="",G71=""),"",IF(OR(F71&lt;&gt;"Buka",G71&lt;&gt;"Coffee shop/kafe"),0,IF(OR(H71="",I71=""),"",IF(AND(H71="Ya",I71&lt;&gt;"Tidak ada"),1,0))))</f>
        <v/>
      </c>
    </row>
    <row r="72">
      <c r="A72" t="n">
        <v>71</v>
      </c>
      <c r="B72" s="19" t="n"/>
      <c r="C72" s="19" t="n"/>
      <c r="D72" s="19" t="n"/>
      <c r="E72" s="20" t="n"/>
      <c r="F72" s="19" t="n"/>
      <c r="G72" s="19" t="n"/>
      <c r="H72" s="19" t="n"/>
      <c r="I72" s="19" t="n"/>
      <c r="J72" s="19" t="n"/>
      <c r="K72" s="19" t="n"/>
      <c r="L72" s="19" t="n"/>
      <c r="M72" s="21">
        <f>IF(OR(B72="",F72="",G72=""),"",IF(OR(F72&lt;&gt;"Buka",G72&lt;&gt;"Coffee shop/kafe"),0,IF(OR(H72="",I72=""),"",IF(AND(H72="Ya",I72&lt;&gt;"Tidak ada"),1,0))))</f>
        <v/>
      </c>
    </row>
    <row r="73">
      <c r="A73" t="n">
        <v>72</v>
      </c>
      <c r="B73" s="19" t="n"/>
      <c r="C73" s="19" t="n"/>
      <c r="D73" s="19" t="n"/>
      <c r="E73" s="20" t="n"/>
      <c r="F73" s="19" t="n"/>
      <c r="G73" s="19" t="n"/>
      <c r="H73" s="19" t="n"/>
      <c r="I73" s="19" t="n"/>
      <c r="J73" s="19" t="n"/>
      <c r="K73" s="19" t="n"/>
      <c r="L73" s="19" t="n"/>
      <c r="M73" s="21">
        <f>IF(OR(B73="",F73="",G73=""),"",IF(OR(F73&lt;&gt;"Buka",G73&lt;&gt;"Coffee shop/kafe"),0,IF(OR(H73="",I73=""),"",IF(AND(H73="Ya",I73&lt;&gt;"Tidak ada"),1,0))))</f>
        <v/>
      </c>
    </row>
    <row r="74">
      <c r="A74" t="n">
        <v>73</v>
      </c>
      <c r="B74" s="19" t="n"/>
      <c r="C74" s="19" t="n"/>
      <c r="D74" s="19" t="n"/>
      <c r="E74" s="20" t="n"/>
      <c r="F74" s="19" t="n"/>
      <c r="G74" s="19" t="n"/>
      <c r="H74" s="19" t="n"/>
      <c r="I74" s="19" t="n"/>
      <c r="J74" s="19" t="n"/>
      <c r="K74" s="19" t="n"/>
      <c r="L74" s="19" t="n"/>
      <c r="M74" s="21">
        <f>IF(OR(B74="",F74="",G74=""),"",IF(OR(F74&lt;&gt;"Buka",G74&lt;&gt;"Coffee shop/kafe"),0,IF(OR(H74="",I74=""),"",IF(AND(H74="Ya",I74&lt;&gt;"Tidak ada"),1,0))))</f>
        <v/>
      </c>
    </row>
    <row r="75">
      <c r="A75" t="n">
        <v>74</v>
      </c>
      <c r="B75" s="19" t="n"/>
      <c r="C75" s="19" t="n"/>
      <c r="D75" s="19" t="n"/>
      <c r="E75" s="20" t="n"/>
      <c r="F75" s="19" t="n"/>
      <c r="G75" s="19" t="n"/>
      <c r="H75" s="19" t="n"/>
      <c r="I75" s="19" t="n"/>
      <c r="J75" s="19" t="n"/>
      <c r="K75" s="19" t="n"/>
      <c r="L75" s="19" t="n"/>
      <c r="M75" s="21">
        <f>IF(OR(B75="",F75="",G75=""),"",IF(OR(F75&lt;&gt;"Buka",G75&lt;&gt;"Coffee shop/kafe"),0,IF(OR(H75="",I75=""),"",IF(AND(H75="Ya",I75&lt;&gt;"Tidak ada"),1,0))))</f>
        <v/>
      </c>
    </row>
    <row r="76">
      <c r="A76" t="n">
        <v>75</v>
      </c>
      <c r="B76" s="19" t="n"/>
      <c r="C76" s="19" t="n"/>
      <c r="D76" s="19" t="n"/>
      <c r="E76" s="20" t="n"/>
      <c r="F76" s="19" t="n"/>
      <c r="G76" s="19" t="n"/>
      <c r="H76" s="19" t="n"/>
      <c r="I76" s="19" t="n"/>
      <c r="J76" s="19" t="n"/>
      <c r="K76" s="19" t="n"/>
      <c r="L76" s="19" t="n"/>
      <c r="M76" s="21">
        <f>IF(OR(B76="",F76="",G76=""),"",IF(OR(F76&lt;&gt;"Buka",G76&lt;&gt;"Coffee shop/kafe"),0,IF(OR(H76="",I76=""),"",IF(AND(H76="Ya",I76&lt;&gt;"Tidak ada"),1,0))))</f>
        <v/>
      </c>
    </row>
    <row r="77">
      <c r="A77" t="n">
        <v>76</v>
      </c>
      <c r="B77" s="19" t="n"/>
      <c r="C77" s="19" t="n"/>
      <c r="D77" s="19" t="n"/>
      <c r="E77" s="20" t="n"/>
      <c r="F77" s="19" t="n"/>
      <c r="G77" s="19" t="n"/>
      <c r="H77" s="19" t="n"/>
      <c r="I77" s="19" t="n"/>
      <c r="J77" s="19" t="n"/>
      <c r="K77" s="19" t="n"/>
      <c r="L77" s="19" t="n"/>
      <c r="M77" s="21">
        <f>IF(OR(B77="",F77="",G77=""),"",IF(OR(F77&lt;&gt;"Buka",G77&lt;&gt;"Coffee shop/kafe"),0,IF(OR(H77="",I77=""),"",IF(AND(H77="Ya",I77&lt;&gt;"Tidak ada"),1,0))))</f>
        <v/>
      </c>
    </row>
    <row r="78">
      <c r="A78" t="n">
        <v>77</v>
      </c>
      <c r="B78" s="19" t="n"/>
      <c r="C78" s="19" t="n"/>
      <c r="D78" s="19" t="n"/>
      <c r="E78" s="20" t="n"/>
      <c r="F78" s="19" t="n"/>
      <c r="G78" s="19" t="n"/>
      <c r="H78" s="19" t="n"/>
      <c r="I78" s="19" t="n"/>
      <c r="J78" s="19" t="n"/>
      <c r="K78" s="19" t="n"/>
      <c r="L78" s="19" t="n"/>
      <c r="M78" s="21">
        <f>IF(OR(B78="",F78="",G78=""),"",IF(OR(F78&lt;&gt;"Buka",G78&lt;&gt;"Coffee shop/kafe"),0,IF(OR(H78="",I78=""),"",IF(AND(H78="Ya",I78&lt;&gt;"Tidak ada"),1,0))))</f>
        <v/>
      </c>
    </row>
    <row r="79">
      <c r="A79" t="n">
        <v>78</v>
      </c>
      <c r="B79" s="19" t="n"/>
      <c r="C79" s="19" t="n"/>
      <c r="D79" s="19" t="n"/>
      <c r="E79" s="20" t="n"/>
      <c r="F79" s="19" t="n"/>
      <c r="G79" s="19" t="n"/>
      <c r="H79" s="19" t="n"/>
      <c r="I79" s="19" t="n"/>
      <c r="J79" s="19" t="n"/>
      <c r="K79" s="19" t="n"/>
      <c r="L79" s="19" t="n"/>
      <c r="M79" s="21">
        <f>IF(OR(B79="",F79="",G79=""),"",IF(OR(F79&lt;&gt;"Buka",G79&lt;&gt;"Coffee shop/kafe"),0,IF(OR(H79="",I79=""),"",IF(AND(H79="Ya",I79&lt;&gt;"Tidak ada"),1,0))))</f>
        <v/>
      </c>
    </row>
    <row r="80">
      <c r="A80" t="n">
        <v>79</v>
      </c>
      <c r="B80" s="19" t="n"/>
      <c r="C80" s="19" t="n"/>
      <c r="D80" s="19" t="n"/>
      <c r="E80" s="20" t="n"/>
      <c r="F80" s="19" t="n"/>
      <c r="G80" s="19" t="n"/>
      <c r="H80" s="19" t="n"/>
      <c r="I80" s="19" t="n"/>
      <c r="J80" s="19" t="n"/>
      <c r="K80" s="19" t="n"/>
      <c r="L80" s="19" t="n"/>
      <c r="M80" s="21">
        <f>IF(OR(B80="",F80="",G80=""),"",IF(OR(F80&lt;&gt;"Buka",G80&lt;&gt;"Coffee shop/kafe"),0,IF(OR(H80="",I80=""),"",IF(AND(H80="Ya",I80&lt;&gt;"Tidak ada"),1,0))))</f>
        <v/>
      </c>
    </row>
    <row r="81">
      <c r="A81" t="n">
        <v>80</v>
      </c>
      <c r="B81" s="19" t="n"/>
      <c r="C81" s="19" t="n"/>
      <c r="D81" s="19" t="n"/>
      <c r="E81" s="20" t="n"/>
      <c r="F81" s="19" t="n"/>
      <c r="G81" s="19" t="n"/>
      <c r="H81" s="19" t="n"/>
      <c r="I81" s="19" t="n"/>
      <c r="J81" s="19" t="n"/>
      <c r="K81" s="19" t="n"/>
      <c r="L81" s="19" t="n"/>
      <c r="M81" s="21">
        <f>IF(OR(B81="",F81="",G81=""),"",IF(OR(F81&lt;&gt;"Buka",G81&lt;&gt;"Coffee shop/kafe"),0,IF(OR(H81="",I81=""),"",IF(AND(H81="Ya",I81&lt;&gt;"Tidak ada"),1,0))))</f>
        <v/>
      </c>
    </row>
    <row r="82">
      <c r="A82" t="n">
        <v>81</v>
      </c>
      <c r="B82" s="19" t="n"/>
      <c r="C82" s="19" t="n"/>
      <c r="D82" s="19" t="n"/>
      <c r="E82" s="20" t="n"/>
      <c r="F82" s="19" t="n"/>
      <c r="G82" s="19" t="n"/>
      <c r="H82" s="19" t="n"/>
      <c r="I82" s="19" t="n"/>
      <c r="J82" s="19" t="n"/>
      <c r="K82" s="19" t="n"/>
      <c r="L82" s="19" t="n"/>
      <c r="M82" s="21">
        <f>IF(OR(B82="",F82="",G82=""),"",IF(OR(F82&lt;&gt;"Buka",G82&lt;&gt;"Coffee shop/kafe"),0,IF(OR(H82="",I82=""),"",IF(AND(H82="Ya",I82&lt;&gt;"Tidak ada"),1,0))))</f>
        <v/>
      </c>
    </row>
    <row r="83">
      <c r="A83" t="n">
        <v>82</v>
      </c>
      <c r="B83" s="19" t="n"/>
      <c r="C83" s="19" t="n"/>
      <c r="D83" s="19" t="n"/>
      <c r="E83" s="20" t="n"/>
      <c r="F83" s="19" t="n"/>
      <c r="G83" s="19" t="n"/>
      <c r="H83" s="19" t="n"/>
      <c r="I83" s="19" t="n"/>
      <c r="J83" s="19" t="n"/>
      <c r="K83" s="19" t="n"/>
      <c r="L83" s="19" t="n"/>
      <c r="M83" s="21">
        <f>IF(OR(B83="",F83="",G83=""),"",IF(OR(F83&lt;&gt;"Buka",G83&lt;&gt;"Coffee shop/kafe"),0,IF(OR(H83="",I83=""),"",IF(AND(H83="Ya",I83&lt;&gt;"Tidak ada"),1,0))))</f>
        <v/>
      </c>
    </row>
    <row r="84">
      <c r="A84" t="n">
        <v>83</v>
      </c>
      <c r="B84" s="19" t="n"/>
      <c r="C84" s="19" t="n"/>
      <c r="D84" s="19" t="n"/>
      <c r="E84" s="20" t="n"/>
      <c r="F84" s="19" t="n"/>
      <c r="G84" s="19" t="n"/>
      <c r="H84" s="19" t="n"/>
      <c r="I84" s="19" t="n"/>
      <c r="J84" s="19" t="n"/>
      <c r="K84" s="19" t="n"/>
      <c r="L84" s="19" t="n"/>
      <c r="M84" s="21">
        <f>IF(OR(B84="",F84="",G84=""),"",IF(OR(F84&lt;&gt;"Buka",G84&lt;&gt;"Coffee shop/kafe"),0,IF(OR(H84="",I84=""),"",IF(AND(H84="Ya",I84&lt;&gt;"Tidak ada"),1,0))))</f>
        <v/>
      </c>
    </row>
    <row r="85">
      <c r="A85" t="n">
        <v>84</v>
      </c>
      <c r="B85" s="19" t="n"/>
      <c r="C85" s="19" t="n"/>
      <c r="D85" s="19" t="n"/>
      <c r="E85" s="20" t="n"/>
      <c r="F85" s="19" t="n"/>
      <c r="G85" s="19" t="n"/>
      <c r="H85" s="19" t="n"/>
      <c r="I85" s="19" t="n"/>
      <c r="J85" s="19" t="n"/>
      <c r="K85" s="19" t="n"/>
      <c r="L85" s="19" t="n"/>
      <c r="M85" s="21">
        <f>IF(OR(B85="",F85="",G85=""),"",IF(OR(F85&lt;&gt;"Buka",G85&lt;&gt;"Coffee shop/kafe"),0,IF(OR(H85="",I85=""),"",IF(AND(H85="Ya",I85&lt;&gt;"Tidak ada"),1,0))))</f>
        <v/>
      </c>
    </row>
    <row r="86">
      <c r="A86" t="n">
        <v>85</v>
      </c>
      <c r="B86" s="19" t="n"/>
      <c r="C86" s="19" t="n"/>
      <c r="D86" s="19" t="n"/>
      <c r="E86" s="20" t="n"/>
      <c r="F86" s="19" t="n"/>
      <c r="G86" s="19" t="n"/>
      <c r="H86" s="19" t="n"/>
      <c r="I86" s="19" t="n"/>
      <c r="J86" s="19" t="n"/>
      <c r="K86" s="19" t="n"/>
      <c r="L86" s="19" t="n"/>
      <c r="M86" s="21">
        <f>IF(OR(B86="",F86="",G86=""),"",IF(OR(F86&lt;&gt;"Buka",G86&lt;&gt;"Coffee shop/kafe"),0,IF(OR(H86="",I86=""),"",IF(AND(H86="Ya",I86&lt;&gt;"Tidak ada"),1,0))))</f>
        <v/>
      </c>
    </row>
    <row r="87">
      <c r="A87" t="n">
        <v>86</v>
      </c>
      <c r="B87" s="19" t="n"/>
      <c r="C87" s="19" t="n"/>
      <c r="D87" s="19" t="n"/>
      <c r="E87" s="20" t="n"/>
      <c r="F87" s="19" t="n"/>
      <c r="G87" s="19" t="n"/>
      <c r="H87" s="19" t="n"/>
      <c r="I87" s="19" t="n"/>
      <c r="J87" s="19" t="n"/>
      <c r="K87" s="19" t="n"/>
      <c r="L87" s="19" t="n"/>
      <c r="M87" s="21">
        <f>IF(OR(B87="",F87="",G87=""),"",IF(OR(F87&lt;&gt;"Buka",G87&lt;&gt;"Coffee shop/kafe"),0,IF(OR(H87="",I87=""),"",IF(AND(H87="Ya",I87&lt;&gt;"Tidak ada"),1,0))))</f>
        <v/>
      </c>
    </row>
    <row r="88">
      <c r="A88" t="n">
        <v>87</v>
      </c>
      <c r="B88" s="19" t="n"/>
      <c r="C88" s="19" t="n"/>
      <c r="D88" s="19" t="n"/>
      <c r="E88" s="20" t="n"/>
      <c r="F88" s="19" t="n"/>
      <c r="G88" s="19" t="n"/>
      <c r="H88" s="19" t="n"/>
      <c r="I88" s="19" t="n"/>
      <c r="J88" s="19" t="n"/>
      <c r="K88" s="19" t="n"/>
      <c r="L88" s="19" t="n"/>
      <c r="M88" s="21">
        <f>IF(OR(B88="",F88="",G88=""),"",IF(OR(F88&lt;&gt;"Buka",G88&lt;&gt;"Coffee shop/kafe"),0,IF(OR(H88="",I88=""),"",IF(AND(H88="Ya",I88&lt;&gt;"Tidak ada"),1,0))))</f>
        <v/>
      </c>
    </row>
    <row r="89">
      <c r="A89" t="n">
        <v>88</v>
      </c>
      <c r="B89" s="19" t="n"/>
      <c r="C89" s="19" t="n"/>
      <c r="D89" s="19" t="n"/>
      <c r="E89" s="20" t="n"/>
      <c r="F89" s="19" t="n"/>
      <c r="G89" s="19" t="n"/>
      <c r="H89" s="19" t="n"/>
      <c r="I89" s="19" t="n"/>
      <c r="J89" s="19" t="n"/>
      <c r="K89" s="19" t="n"/>
      <c r="L89" s="19" t="n"/>
      <c r="M89" s="21">
        <f>IF(OR(B89="",F89="",G89=""),"",IF(OR(F89&lt;&gt;"Buka",G89&lt;&gt;"Coffee shop/kafe"),0,IF(OR(H89="",I89=""),"",IF(AND(H89="Ya",I89&lt;&gt;"Tidak ada"),1,0))))</f>
        <v/>
      </c>
    </row>
    <row r="90">
      <c r="A90" t="n">
        <v>89</v>
      </c>
      <c r="B90" s="19" t="n"/>
      <c r="C90" s="19" t="n"/>
      <c r="D90" s="19" t="n"/>
      <c r="E90" s="20" t="n"/>
      <c r="F90" s="19" t="n"/>
      <c r="G90" s="19" t="n"/>
      <c r="H90" s="19" t="n"/>
      <c r="I90" s="19" t="n"/>
      <c r="J90" s="19" t="n"/>
      <c r="K90" s="19" t="n"/>
      <c r="L90" s="19" t="n"/>
      <c r="M90" s="21">
        <f>IF(OR(B90="",F90="",G90=""),"",IF(OR(F90&lt;&gt;"Buka",G90&lt;&gt;"Coffee shop/kafe"),0,IF(OR(H90="",I90=""),"",IF(AND(H90="Ya",I90&lt;&gt;"Tidak ada"),1,0))))</f>
        <v/>
      </c>
    </row>
    <row r="91">
      <c r="A91" t="n">
        <v>90</v>
      </c>
      <c r="B91" s="19" t="n"/>
      <c r="C91" s="19" t="n"/>
      <c r="D91" s="19" t="n"/>
      <c r="E91" s="20" t="n"/>
      <c r="F91" s="19" t="n"/>
      <c r="G91" s="19" t="n"/>
      <c r="H91" s="19" t="n"/>
      <c r="I91" s="19" t="n"/>
      <c r="J91" s="19" t="n"/>
      <c r="K91" s="19" t="n"/>
      <c r="L91" s="19" t="n"/>
      <c r="M91" s="21">
        <f>IF(OR(B91="",F91="",G91=""),"",IF(OR(F91&lt;&gt;"Buka",G91&lt;&gt;"Coffee shop/kafe"),0,IF(OR(H91="",I91=""),"",IF(AND(H91="Ya",I91&lt;&gt;"Tidak ada"),1,0))))</f>
        <v/>
      </c>
    </row>
    <row r="92">
      <c r="A92" t="n">
        <v>91</v>
      </c>
      <c r="B92" s="19" t="n"/>
      <c r="C92" s="19" t="n"/>
      <c r="D92" s="19" t="n"/>
      <c r="E92" s="20" t="n"/>
      <c r="F92" s="19" t="n"/>
      <c r="G92" s="19" t="n"/>
      <c r="H92" s="19" t="n"/>
      <c r="I92" s="19" t="n"/>
      <c r="J92" s="19" t="n"/>
      <c r="K92" s="19" t="n"/>
      <c r="L92" s="19" t="n"/>
      <c r="M92" s="21">
        <f>IF(OR(B92="",F92="",G92=""),"",IF(OR(F92&lt;&gt;"Buka",G92&lt;&gt;"Coffee shop/kafe"),0,IF(OR(H92="",I92=""),"",IF(AND(H92="Ya",I92&lt;&gt;"Tidak ada"),1,0))))</f>
        <v/>
      </c>
    </row>
    <row r="93">
      <c r="A93" t="n">
        <v>92</v>
      </c>
      <c r="B93" s="19" t="n"/>
      <c r="C93" s="19" t="n"/>
      <c r="D93" s="19" t="n"/>
      <c r="E93" s="20" t="n"/>
      <c r="F93" s="19" t="n"/>
      <c r="G93" s="19" t="n"/>
      <c r="H93" s="19" t="n"/>
      <c r="I93" s="19" t="n"/>
      <c r="J93" s="19" t="n"/>
      <c r="K93" s="19" t="n"/>
      <c r="L93" s="19" t="n"/>
      <c r="M93" s="21">
        <f>IF(OR(B93="",F93="",G93=""),"",IF(OR(F93&lt;&gt;"Buka",G93&lt;&gt;"Coffee shop/kafe"),0,IF(OR(H93="",I93=""),"",IF(AND(H93="Ya",I93&lt;&gt;"Tidak ada"),1,0))))</f>
        <v/>
      </c>
    </row>
    <row r="94">
      <c r="A94" t="n">
        <v>93</v>
      </c>
      <c r="B94" s="19" t="n"/>
      <c r="C94" s="19" t="n"/>
      <c r="D94" s="19" t="n"/>
      <c r="E94" s="20" t="n"/>
      <c r="F94" s="19" t="n"/>
      <c r="G94" s="19" t="n"/>
      <c r="H94" s="19" t="n"/>
      <c r="I94" s="19" t="n"/>
      <c r="J94" s="19" t="n"/>
      <c r="K94" s="19" t="n"/>
      <c r="L94" s="19" t="n"/>
      <c r="M94" s="21">
        <f>IF(OR(B94="",F94="",G94=""),"",IF(OR(F94&lt;&gt;"Buka",G94&lt;&gt;"Coffee shop/kafe"),0,IF(OR(H94="",I94=""),"",IF(AND(H94="Ya",I94&lt;&gt;"Tidak ada"),1,0))))</f>
        <v/>
      </c>
    </row>
    <row r="95">
      <c r="A95" t="n">
        <v>94</v>
      </c>
      <c r="B95" s="19" t="n"/>
      <c r="C95" s="19" t="n"/>
      <c r="D95" s="19" t="n"/>
      <c r="E95" s="20" t="n"/>
      <c r="F95" s="19" t="n"/>
      <c r="G95" s="19" t="n"/>
      <c r="H95" s="19" t="n"/>
      <c r="I95" s="19" t="n"/>
      <c r="J95" s="19" t="n"/>
      <c r="K95" s="19" t="n"/>
      <c r="L95" s="19" t="n"/>
      <c r="M95" s="21">
        <f>IF(OR(B95="",F95="",G95=""),"",IF(OR(F95&lt;&gt;"Buka",G95&lt;&gt;"Coffee shop/kafe"),0,IF(OR(H95="",I95=""),"",IF(AND(H95="Ya",I95&lt;&gt;"Tidak ada"),1,0))))</f>
        <v/>
      </c>
    </row>
    <row r="96">
      <c r="A96" t="n">
        <v>95</v>
      </c>
      <c r="B96" s="19" t="n"/>
      <c r="C96" s="19" t="n"/>
      <c r="D96" s="19" t="n"/>
      <c r="E96" s="20" t="n"/>
      <c r="F96" s="19" t="n"/>
      <c r="G96" s="19" t="n"/>
      <c r="H96" s="19" t="n"/>
      <c r="I96" s="19" t="n"/>
      <c r="J96" s="19" t="n"/>
      <c r="K96" s="19" t="n"/>
      <c r="L96" s="19" t="n"/>
      <c r="M96" s="21">
        <f>IF(OR(B96="",F96="",G96=""),"",IF(OR(F96&lt;&gt;"Buka",G96&lt;&gt;"Coffee shop/kafe"),0,IF(OR(H96="",I96=""),"",IF(AND(H96="Ya",I96&lt;&gt;"Tidak ada"),1,0))))</f>
        <v/>
      </c>
    </row>
    <row r="97">
      <c r="A97" t="n">
        <v>96</v>
      </c>
      <c r="B97" s="19" t="n"/>
      <c r="C97" s="19" t="n"/>
      <c r="D97" s="19" t="n"/>
      <c r="E97" s="20" t="n"/>
      <c r="F97" s="19" t="n"/>
      <c r="G97" s="19" t="n"/>
      <c r="H97" s="19" t="n"/>
      <c r="I97" s="19" t="n"/>
      <c r="J97" s="19" t="n"/>
      <c r="K97" s="19" t="n"/>
      <c r="L97" s="19" t="n"/>
      <c r="M97" s="21">
        <f>IF(OR(B97="",F97="",G97=""),"",IF(OR(F97&lt;&gt;"Buka",G97&lt;&gt;"Coffee shop/kafe"),0,IF(OR(H97="",I97=""),"",IF(AND(H97="Ya",I97&lt;&gt;"Tidak ada"),1,0))))</f>
        <v/>
      </c>
    </row>
    <row r="98">
      <c r="A98" t="n">
        <v>97</v>
      </c>
      <c r="B98" s="19" t="n"/>
      <c r="C98" s="19" t="n"/>
      <c r="D98" s="19" t="n"/>
      <c r="E98" s="20" t="n"/>
      <c r="F98" s="19" t="n"/>
      <c r="G98" s="19" t="n"/>
      <c r="H98" s="19" t="n"/>
      <c r="I98" s="19" t="n"/>
      <c r="J98" s="19" t="n"/>
      <c r="K98" s="19" t="n"/>
      <c r="L98" s="19" t="n"/>
      <c r="M98" s="21">
        <f>IF(OR(B98="",F98="",G98=""),"",IF(OR(F98&lt;&gt;"Buka",G98&lt;&gt;"Coffee shop/kafe"),0,IF(OR(H98="",I98=""),"",IF(AND(H98="Ya",I98&lt;&gt;"Tidak ada"),1,0))))</f>
        <v/>
      </c>
    </row>
    <row r="99">
      <c r="A99" t="n">
        <v>98</v>
      </c>
      <c r="B99" s="19" t="n"/>
      <c r="C99" s="19" t="n"/>
      <c r="D99" s="19" t="n"/>
      <c r="E99" s="20" t="n"/>
      <c r="F99" s="19" t="n"/>
      <c r="G99" s="19" t="n"/>
      <c r="H99" s="19" t="n"/>
      <c r="I99" s="19" t="n"/>
      <c r="J99" s="19" t="n"/>
      <c r="K99" s="19" t="n"/>
      <c r="L99" s="19" t="n"/>
      <c r="M99" s="21">
        <f>IF(OR(B99="",F99="",G99=""),"",IF(OR(F99&lt;&gt;"Buka",G99&lt;&gt;"Coffee shop/kafe"),0,IF(OR(H99="",I99=""),"",IF(AND(H99="Ya",I99&lt;&gt;"Tidak ada"),1,0))))</f>
        <v/>
      </c>
    </row>
    <row r="100">
      <c r="A100" t="n">
        <v>99</v>
      </c>
      <c r="B100" s="19" t="n"/>
      <c r="C100" s="19" t="n"/>
      <c r="D100" s="19" t="n"/>
      <c r="E100" s="20" t="n"/>
      <c r="F100" s="19" t="n"/>
      <c r="G100" s="19" t="n"/>
      <c r="H100" s="19" t="n"/>
      <c r="I100" s="19" t="n"/>
      <c r="J100" s="19" t="n"/>
      <c r="K100" s="19" t="n"/>
      <c r="L100" s="19" t="n"/>
      <c r="M100" s="21">
        <f>IF(OR(B100="",F100="",G100=""),"",IF(OR(F100&lt;&gt;"Buka",G100&lt;&gt;"Coffee shop/kafe"),0,IF(OR(H100="",I100=""),"",IF(AND(H100="Ya",I100&lt;&gt;"Tidak ada"),1,0))))</f>
        <v/>
      </c>
    </row>
    <row r="101">
      <c r="A101" t="n">
        <v>100</v>
      </c>
      <c r="B101" s="19" t="n"/>
      <c r="C101" s="19" t="n"/>
      <c r="D101" s="19" t="n"/>
      <c r="E101" s="20" t="n"/>
      <c r="F101" s="19" t="n"/>
      <c r="G101" s="19" t="n"/>
      <c r="H101" s="19" t="n"/>
      <c r="I101" s="19" t="n"/>
      <c r="J101" s="19" t="n"/>
      <c r="K101" s="19" t="n"/>
      <c r="L101" s="19" t="n"/>
      <c r="M101" s="21">
        <f>IF(OR(B101="",F101="",G101=""),"",IF(OR(F101&lt;&gt;"Buka",G101&lt;&gt;"Coffee shop/kafe"),0,IF(OR(H101="",I101=""),"",IF(AND(H101="Ya",I101&lt;&gt;"Tidak ada"),1,0))))</f>
        <v/>
      </c>
    </row>
    <row r="102">
      <c r="A102" t="n">
        <v>101</v>
      </c>
      <c r="B102" s="19" t="n"/>
      <c r="C102" s="19" t="n"/>
      <c r="D102" s="19" t="n"/>
      <c r="E102" s="20" t="n"/>
      <c r="F102" s="19" t="n"/>
      <c r="G102" s="19" t="n"/>
      <c r="H102" s="19" t="n"/>
      <c r="I102" s="19" t="n"/>
      <c r="J102" s="19" t="n"/>
      <c r="K102" s="19" t="n"/>
      <c r="L102" s="19" t="n"/>
      <c r="M102" s="21">
        <f>IF(OR(B102="",F102="",G102=""),"",IF(OR(F102&lt;&gt;"Buka",G102&lt;&gt;"Coffee shop/kafe"),0,IF(OR(H102="",I102=""),"",IF(AND(H102="Ya",I102&lt;&gt;"Tidak ada"),1,0))))</f>
        <v/>
      </c>
    </row>
    <row r="103">
      <c r="A103" t="n">
        <v>102</v>
      </c>
      <c r="B103" s="19" t="n"/>
      <c r="C103" s="19" t="n"/>
      <c r="D103" s="19" t="n"/>
      <c r="E103" s="20" t="n"/>
      <c r="F103" s="19" t="n"/>
      <c r="G103" s="19" t="n"/>
      <c r="H103" s="19" t="n"/>
      <c r="I103" s="19" t="n"/>
      <c r="J103" s="19" t="n"/>
      <c r="K103" s="19" t="n"/>
      <c r="L103" s="19" t="n"/>
      <c r="M103" s="21">
        <f>IF(OR(B103="",F103="",G103=""),"",IF(OR(F103&lt;&gt;"Buka",G103&lt;&gt;"Coffee shop/kafe"),0,IF(OR(H103="",I103=""),"",IF(AND(H103="Ya",I103&lt;&gt;"Tidak ada"),1,0))))</f>
        <v/>
      </c>
    </row>
    <row r="104">
      <c r="A104" t="n">
        <v>103</v>
      </c>
      <c r="B104" s="19" t="n"/>
      <c r="C104" s="19" t="n"/>
      <c r="D104" s="19" t="n"/>
      <c r="E104" s="20" t="n"/>
      <c r="F104" s="19" t="n"/>
      <c r="G104" s="19" t="n"/>
      <c r="H104" s="19" t="n"/>
      <c r="I104" s="19" t="n"/>
      <c r="J104" s="19" t="n"/>
      <c r="K104" s="19" t="n"/>
      <c r="L104" s="19" t="n"/>
      <c r="M104" s="21">
        <f>IF(OR(B104="",F104="",G104=""),"",IF(OR(F104&lt;&gt;"Buka",G104&lt;&gt;"Coffee shop/kafe"),0,IF(OR(H104="",I104=""),"",IF(AND(H104="Ya",I104&lt;&gt;"Tidak ada"),1,0))))</f>
        <v/>
      </c>
    </row>
    <row r="105">
      <c r="A105" t="n">
        <v>104</v>
      </c>
      <c r="B105" s="19" t="n"/>
      <c r="C105" s="19" t="n"/>
      <c r="D105" s="19" t="n"/>
      <c r="E105" s="20" t="n"/>
      <c r="F105" s="19" t="n"/>
      <c r="G105" s="19" t="n"/>
      <c r="H105" s="19" t="n"/>
      <c r="I105" s="19" t="n"/>
      <c r="J105" s="19" t="n"/>
      <c r="K105" s="19" t="n"/>
      <c r="L105" s="19" t="n"/>
      <c r="M105" s="21">
        <f>IF(OR(B105="",F105="",G105=""),"",IF(OR(F105&lt;&gt;"Buka",G105&lt;&gt;"Coffee shop/kafe"),0,IF(OR(H105="",I105=""),"",IF(AND(H105="Ya",I105&lt;&gt;"Tidak ada"),1,0))))</f>
        <v/>
      </c>
    </row>
    <row r="106">
      <c r="A106" t="n">
        <v>105</v>
      </c>
      <c r="B106" s="19" t="n"/>
      <c r="C106" s="19" t="n"/>
      <c r="D106" s="19" t="n"/>
      <c r="E106" s="20" t="n"/>
      <c r="F106" s="19" t="n"/>
      <c r="G106" s="19" t="n"/>
      <c r="H106" s="19" t="n"/>
      <c r="I106" s="19" t="n"/>
      <c r="J106" s="19" t="n"/>
      <c r="K106" s="19" t="n"/>
      <c r="L106" s="19" t="n"/>
      <c r="M106" s="21">
        <f>IF(OR(B106="",F106="",G106=""),"",IF(OR(F106&lt;&gt;"Buka",G106&lt;&gt;"Coffee shop/kafe"),0,IF(OR(H106="",I106=""),"",IF(AND(H106="Ya",I106&lt;&gt;"Tidak ada"),1,0))))</f>
        <v/>
      </c>
    </row>
    <row r="107">
      <c r="A107" t="n">
        <v>106</v>
      </c>
      <c r="B107" s="19" t="n"/>
      <c r="C107" s="19" t="n"/>
      <c r="D107" s="19" t="n"/>
      <c r="E107" s="20" t="n"/>
      <c r="F107" s="19" t="n"/>
      <c r="G107" s="19" t="n"/>
      <c r="H107" s="19" t="n"/>
      <c r="I107" s="19" t="n"/>
      <c r="J107" s="19" t="n"/>
      <c r="K107" s="19" t="n"/>
      <c r="L107" s="19" t="n"/>
      <c r="M107" s="21">
        <f>IF(OR(B107="",F107="",G107=""),"",IF(OR(F107&lt;&gt;"Buka",G107&lt;&gt;"Coffee shop/kafe"),0,IF(OR(H107="",I107=""),"",IF(AND(H107="Ya",I107&lt;&gt;"Tidak ada"),1,0))))</f>
        <v/>
      </c>
    </row>
    <row r="108">
      <c r="A108" t="n">
        <v>107</v>
      </c>
      <c r="B108" s="19" t="n"/>
      <c r="C108" s="19" t="n"/>
      <c r="D108" s="19" t="n"/>
      <c r="E108" s="20" t="n"/>
      <c r="F108" s="19" t="n"/>
      <c r="G108" s="19" t="n"/>
      <c r="H108" s="19" t="n"/>
      <c r="I108" s="19" t="n"/>
      <c r="J108" s="19" t="n"/>
      <c r="K108" s="19" t="n"/>
      <c r="L108" s="19" t="n"/>
      <c r="M108" s="21">
        <f>IF(OR(B108="",F108="",G108=""),"",IF(OR(F108&lt;&gt;"Buka",G108&lt;&gt;"Coffee shop/kafe"),0,IF(OR(H108="",I108=""),"",IF(AND(H108="Ya",I108&lt;&gt;"Tidak ada"),1,0))))</f>
        <v/>
      </c>
    </row>
    <row r="109">
      <c r="A109" t="n">
        <v>108</v>
      </c>
      <c r="B109" s="19" t="n"/>
      <c r="C109" s="19" t="n"/>
      <c r="D109" s="19" t="n"/>
      <c r="E109" s="20" t="n"/>
      <c r="F109" s="19" t="n"/>
      <c r="G109" s="19" t="n"/>
      <c r="H109" s="19" t="n"/>
      <c r="I109" s="19" t="n"/>
      <c r="J109" s="19" t="n"/>
      <c r="K109" s="19" t="n"/>
      <c r="L109" s="19" t="n"/>
      <c r="M109" s="21">
        <f>IF(OR(B109="",F109="",G109=""),"",IF(OR(F109&lt;&gt;"Buka",G109&lt;&gt;"Coffee shop/kafe"),0,IF(OR(H109="",I109=""),"",IF(AND(H109="Ya",I109&lt;&gt;"Tidak ada"),1,0))))</f>
        <v/>
      </c>
    </row>
    <row r="110">
      <c r="A110" t="n">
        <v>109</v>
      </c>
      <c r="B110" s="19" t="n"/>
      <c r="C110" s="19" t="n"/>
      <c r="D110" s="19" t="n"/>
      <c r="E110" s="20" t="n"/>
      <c r="F110" s="19" t="n"/>
      <c r="G110" s="19" t="n"/>
      <c r="H110" s="19" t="n"/>
      <c r="I110" s="19" t="n"/>
      <c r="J110" s="19" t="n"/>
      <c r="K110" s="19" t="n"/>
      <c r="L110" s="19" t="n"/>
      <c r="M110" s="21">
        <f>IF(OR(B110="",F110="",G110=""),"",IF(OR(F110&lt;&gt;"Buka",G110&lt;&gt;"Coffee shop/kafe"),0,IF(OR(H110="",I110=""),"",IF(AND(H110="Ya",I110&lt;&gt;"Tidak ada"),1,0))))</f>
        <v/>
      </c>
    </row>
    <row r="111">
      <c r="A111" t="n">
        <v>110</v>
      </c>
      <c r="B111" s="19" t="n"/>
      <c r="C111" s="19" t="n"/>
      <c r="D111" s="19" t="n"/>
      <c r="E111" s="20" t="n"/>
      <c r="F111" s="19" t="n"/>
      <c r="G111" s="19" t="n"/>
      <c r="H111" s="19" t="n"/>
      <c r="I111" s="19" t="n"/>
      <c r="J111" s="19" t="n"/>
      <c r="K111" s="19" t="n"/>
      <c r="L111" s="19" t="n"/>
      <c r="M111" s="21">
        <f>IF(OR(B111="",F111="",G111=""),"",IF(OR(F111&lt;&gt;"Buka",G111&lt;&gt;"Coffee shop/kafe"),0,IF(OR(H111="",I111=""),"",IF(AND(H111="Ya",I111&lt;&gt;"Tidak ada"),1,0))))</f>
        <v/>
      </c>
    </row>
    <row r="112">
      <c r="A112" t="n">
        <v>111</v>
      </c>
      <c r="B112" s="19" t="n"/>
      <c r="C112" s="19" t="n"/>
      <c r="D112" s="19" t="n"/>
      <c r="E112" s="20" t="n"/>
      <c r="F112" s="19" t="n"/>
      <c r="G112" s="19" t="n"/>
      <c r="H112" s="19" t="n"/>
      <c r="I112" s="19" t="n"/>
      <c r="J112" s="19" t="n"/>
      <c r="K112" s="19" t="n"/>
      <c r="L112" s="19" t="n"/>
      <c r="M112" s="21">
        <f>IF(OR(B112="",F112="",G112=""),"",IF(OR(F112&lt;&gt;"Buka",G112&lt;&gt;"Coffee shop/kafe"),0,IF(OR(H112="",I112=""),"",IF(AND(H112="Ya",I112&lt;&gt;"Tidak ada"),1,0))))</f>
        <v/>
      </c>
    </row>
    <row r="113">
      <c r="A113" t="n">
        <v>112</v>
      </c>
      <c r="B113" s="19" t="n"/>
      <c r="C113" s="19" t="n"/>
      <c r="D113" s="19" t="n"/>
      <c r="E113" s="20" t="n"/>
      <c r="F113" s="19" t="n"/>
      <c r="G113" s="19" t="n"/>
      <c r="H113" s="19" t="n"/>
      <c r="I113" s="19" t="n"/>
      <c r="J113" s="19" t="n"/>
      <c r="K113" s="19" t="n"/>
      <c r="L113" s="19" t="n"/>
      <c r="M113" s="21">
        <f>IF(OR(B113="",F113="",G113=""),"",IF(OR(F113&lt;&gt;"Buka",G113&lt;&gt;"Coffee shop/kafe"),0,IF(OR(H113="",I113=""),"",IF(AND(H113="Ya",I113&lt;&gt;"Tidak ada"),1,0))))</f>
        <v/>
      </c>
    </row>
    <row r="114">
      <c r="A114" t="n">
        <v>113</v>
      </c>
      <c r="B114" s="19" t="n"/>
      <c r="C114" s="19" t="n"/>
      <c r="D114" s="19" t="n"/>
      <c r="E114" s="20" t="n"/>
      <c r="F114" s="19" t="n"/>
      <c r="G114" s="19" t="n"/>
      <c r="H114" s="19" t="n"/>
      <c r="I114" s="19" t="n"/>
      <c r="J114" s="19" t="n"/>
      <c r="K114" s="19" t="n"/>
      <c r="L114" s="19" t="n"/>
      <c r="M114" s="21">
        <f>IF(OR(B114="",F114="",G114=""),"",IF(OR(F114&lt;&gt;"Buka",G114&lt;&gt;"Coffee shop/kafe"),0,IF(OR(H114="",I114=""),"",IF(AND(H114="Ya",I114&lt;&gt;"Tidak ada"),1,0))))</f>
        <v/>
      </c>
    </row>
    <row r="115">
      <c r="A115" t="n">
        <v>114</v>
      </c>
      <c r="B115" s="19" t="n"/>
      <c r="C115" s="19" t="n"/>
      <c r="D115" s="19" t="n"/>
      <c r="E115" s="20" t="n"/>
      <c r="F115" s="19" t="n"/>
      <c r="G115" s="19" t="n"/>
      <c r="H115" s="19" t="n"/>
      <c r="I115" s="19" t="n"/>
      <c r="J115" s="19" t="n"/>
      <c r="K115" s="19" t="n"/>
      <c r="L115" s="19" t="n"/>
      <c r="M115" s="21">
        <f>IF(OR(B115="",F115="",G115=""),"",IF(OR(F115&lt;&gt;"Buka",G115&lt;&gt;"Coffee shop/kafe"),0,IF(OR(H115="",I115=""),"",IF(AND(H115="Ya",I115&lt;&gt;"Tidak ada"),1,0))))</f>
        <v/>
      </c>
    </row>
    <row r="116">
      <c r="A116" t="n">
        <v>115</v>
      </c>
      <c r="B116" s="19" t="n"/>
      <c r="C116" s="19" t="n"/>
      <c r="D116" s="19" t="n"/>
      <c r="E116" s="20" t="n"/>
      <c r="F116" s="19" t="n"/>
      <c r="G116" s="19" t="n"/>
      <c r="H116" s="19" t="n"/>
      <c r="I116" s="19" t="n"/>
      <c r="J116" s="19" t="n"/>
      <c r="K116" s="19" t="n"/>
      <c r="L116" s="19" t="n"/>
      <c r="M116" s="21">
        <f>IF(OR(B116="",F116="",G116=""),"",IF(OR(F116&lt;&gt;"Buka",G116&lt;&gt;"Coffee shop/kafe"),0,IF(OR(H116="",I116=""),"",IF(AND(H116="Ya",I116&lt;&gt;"Tidak ada"),1,0))))</f>
        <v/>
      </c>
    </row>
    <row r="117">
      <c r="A117" t="n">
        <v>116</v>
      </c>
      <c r="B117" s="19" t="n"/>
      <c r="C117" s="19" t="n"/>
      <c r="D117" s="19" t="n"/>
      <c r="E117" s="20" t="n"/>
      <c r="F117" s="19" t="n"/>
      <c r="G117" s="19" t="n"/>
      <c r="H117" s="19" t="n"/>
      <c r="I117" s="19" t="n"/>
      <c r="J117" s="19" t="n"/>
      <c r="K117" s="19" t="n"/>
      <c r="L117" s="19" t="n"/>
      <c r="M117" s="21">
        <f>IF(OR(B117="",F117="",G117=""),"",IF(OR(F117&lt;&gt;"Buka",G117&lt;&gt;"Coffee shop/kafe"),0,IF(OR(H117="",I117=""),"",IF(AND(H117="Ya",I117&lt;&gt;"Tidak ada"),1,0))))</f>
        <v/>
      </c>
    </row>
    <row r="118">
      <c r="A118" t="n">
        <v>117</v>
      </c>
      <c r="B118" s="19" t="n"/>
      <c r="C118" s="19" t="n"/>
      <c r="D118" s="19" t="n"/>
      <c r="E118" s="20" t="n"/>
      <c r="F118" s="19" t="n"/>
      <c r="G118" s="19" t="n"/>
      <c r="H118" s="19" t="n"/>
      <c r="I118" s="19" t="n"/>
      <c r="J118" s="19" t="n"/>
      <c r="K118" s="19" t="n"/>
      <c r="L118" s="19" t="n"/>
      <c r="M118" s="21">
        <f>IF(OR(B118="",F118="",G118=""),"",IF(OR(F118&lt;&gt;"Buka",G118&lt;&gt;"Coffee shop/kafe"),0,IF(OR(H118="",I118=""),"",IF(AND(H118="Ya",I118&lt;&gt;"Tidak ada"),1,0))))</f>
        <v/>
      </c>
    </row>
    <row r="119">
      <c r="A119" t="n">
        <v>118</v>
      </c>
      <c r="B119" s="19" t="n"/>
      <c r="C119" s="19" t="n"/>
      <c r="D119" s="19" t="n"/>
      <c r="E119" s="20" t="n"/>
      <c r="F119" s="19" t="n"/>
      <c r="G119" s="19" t="n"/>
      <c r="H119" s="19" t="n"/>
      <c r="I119" s="19" t="n"/>
      <c r="J119" s="19" t="n"/>
      <c r="K119" s="19" t="n"/>
      <c r="L119" s="19" t="n"/>
      <c r="M119" s="21">
        <f>IF(OR(B119="",F119="",G119=""),"",IF(OR(F119&lt;&gt;"Buka",G119&lt;&gt;"Coffee shop/kafe"),0,IF(OR(H119="",I119=""),"",IF(AND(H119="Ya",I119&lt;&gt;"Tidak ada"),1,0))))</f>
        <v/>
      </c>
    </row>
    <row r="120">
      <c r="A120" t="n">
        <v>119</v>
      </c>
      <c r="B120" s="19" t="n"/>
      <c r="C120" s="19" t="n"/>
      <c r="D120" s="19" t="n"/>
      <c r="E120" s="20" t="n"/>
      <c r="F120" s="19" t="n"/>
      <c r="G120" s="19" t="n"/>
      <c r="H120" s="19" t="n"/>
      <c r="I120" s="19" t="n"/>
      <c r="J120" s="19" t="n"/>
      <c r="K120" s="19" t="n"/>
      <c r="L120" s="19" t="n"/>
      <c r="M120" s="21">
        <f>IF(OR(B120="",F120="",G120=""),"",IF(OR(F120&lt;&gt;"Buka",G120&lt;&gt;"Coffee shop/kafe"),0,IF(OR(H120="",I120=""),"",IF(AND(H120="Ya",I120&lt;&gt;"Tidak ada"),1,0))))</f>
        <v/>
      </c>
    </row>
    <row r="121">
      <c r="A121" t="n">
        <v>120</v>
      </c>
      <c r="B121" s="19" t="n"/>
      <c r="C121" s="19" t="n"/>
      <c r="D121" s="19" t="n"/>
      <c r="E121" s="20" t="n"/>
      <c r="F121" s="19" t="n"/>
      <c r="G121" s="19" t="n"/>
      <c r="H121" s="19" t="n"/>
      <c r="I121" s="19" t="n"/>
      <c r="J121" s="19" t="n"/>
      <c r="K121" s="19" t="n"/>
      <c r="L121" s="19" t="n"/>
      <c r="M121" s="21">
        <f>IF(OR(B121="",F121="",G121=""),"",IF(OR(F121&lt;&gt;"Buka",G121&lt;&gt;"Coffee shop/kafe"),0,IF(OR(H121="",I121=""),"",IF(AND(H121="Ya",I121&lt;&gt;"Tidak ada"),1,0))))</f>
        <v/>
      </c>
    </row>
    <row r="122">
      <c r="A122" t="n">
        <v>121</v>
      </c>
      <c r="B122" s="19" t="n"/>
      <c r="C122" s="19" t="n"/>
      <c r="D122" s="19" t="n"/>
      <c r="E122" s="20" t="n"/>
      <c r="F122" s="19" t="n"/>
      <c r="G122" s="19" t="n"/>
      <c r="H122" s="19" t="n"/>
      <c r="I122" s="19" t="n"/>
      <c r="J122" s="19" t="n"/>
      <c r="K122" s="19" t="n"/>
      <c r="L122" s="19" t="n"/>
      <c r="M122" s="21">
        <f>IF(OR(B122="",F122="",G122=""),"",IF(OR(F122&lt;&gt;"Buka",G122&lt;&gt;"Coffee shop/kafe"),0,IF(OR(H122="",I122=""),"",IF(AND(H122="Ya",I122&lt;&gt;"Tidak ada"),1,0))))</f>
        <v/>
      </c>
    </row>
    <row r="123">
      <c r="A123" t="n">
        <v>122</v>
      </c>
      <c r="B123" s="19" t="n"/>
      <c r="C123" s="19" t="n"/>
      <c r="D123" s="19" t="n"/>
      <c r="E123" s="20" t="n"/>
      <c r="F123" s="19" t="n"/>
      <c r="G123" s="19" t="n"/>
      <c r="H123" s="19" t="n"/>
      <c r="I123" s="19" t="n"/>
      <c r="J123" s="19" t="n"/>
      <c r="K123" s="19" t="n"/>
      <c r="L123" s="19" t="n"/>
      <c r="M123" s="21">
        <f>IF(OR(B123="",F123="",G123=""),"",IF(OR(F123&lt;&gt;"Buka",G123&lt;&gt;"Coffee shop/kafe"),0,IF(OR(H123="",I123=""),"",IF(AND(H123="Ya",I123&lt;&gt;"Tidak ada"),1,0))))</f>
        <v/>
      </c>
    </row>
    <row r="124">
      <c r="A124" t="n">
        <v>123</v>
      </c>
      <c r="B124" s="19" t="n"/>
      <c r="C124" s="19" t="n"/>
      <c r="D124" s="19" t="n"/>
      <c r="E124" s="20" t="n"/>
      <c r="F124" s="19" t="n"/>
      <c r="G124" s="19" t="n"/>
      <c r="H124" s="19" t="n"/>
      <c r="I124" s="19" t="n"/>
      <c r="J124" s="19" t="n"/>
      <c r="K124" s="19" t="n"/>
      <c r="L124" s="19" t="n"/>
      <c r="M124" s="21">
        <f>IF(OR(B124="",F124="",G124=""),"",IF(OR(F124&lt;&gt;"Buka",G124&lt;&gt;"Coffee shop/kafe"),0,IF(OR(H124="",I124=""),"",IF(AND(H124="Ya",I124&lt;&gt;"Tidak ada"),1,0))))</f>
        <v/>
      </c>
    </row>
    <row r="125">
      <c r="A125" t="n">
        <v>124</v>
      </c>
      <c r="B125" s="19" t="n"/>
      <c r="C125" s="19" t="n"/>
      <c r="D125" s="19" t="n"/>
      <c r="E125" s="20" t="n"/>
      <c r="F125" s="19" t="n"/>
      <c r="G125" s="19" t="n"/>
      <c r="H125" s="19" t="n"/>
      <c r="I125" s="19" t="n"/>
      <c r="J125" s="19" t="n"/>
      <c r="K125" s="19" t="n"/>
      <c r="L125" s="19" t="n"/>
      <c r="M125" s="21">
        <f>IF(OR(B125="",F125="",G125=""),"",IF(OR(F125&lt;&gt;"Buka",G125&lt;&gt;"Coffee shop/kafe"),0,IF(OR(H125="",I125=""),"",IF(AND(H125="Ya",I125&lt;&gt;"Tidak ada"),1,0))))</f>
        <v/>
      </c>
    </row>
    <row r="126">
      <c r="A126" t="n">
        <v>125</v>
      </c>
      <c r="B126" s="19" t="n"/>
      <c r="C126" s="19" t="n"/>
      <c r="D126" s="19" t="n"/>
      <c r="E126" s="20" t="n"/>
      <c r="F126" s="19" t="n"/>
      <c r="G126" s="19" t="n"/>
      <c r="H126" s="19" t="n"/>
      <c r="I126" s="19" t="n"/>
      <c r="J126" s="19" t="n"/>
      <c r="K126" s="19" t="n"/>
      <c r="L126" s="19" t="n"/>
      <c r="M126" s="21">
        <f>IF(OR(B126="",F126="",G126=""),"",IF(OR(F126&lt;&gt;"Buka",G126&lt;&gt;"Coffee shop/kafe"),0,IF(OR(H126="",I126=""),"",IF(AND(H126="Ya",I126&lt;&gt;"Tidak ada"),1,0))))</f>
        <v/>
      </c>
    </row>
    <row r="127">
      <c r="A127" t="n">
        <v>126</v>
      </c>
      <c r="B127" s="19" t="n"/>
      <c r="C127" s="19" t="n"/>
      <c r="D127" s="19" t="n"/>
      <c r="E127" s="20" t="n"/>
      <c r="F127" s="19" t="n"/>
      <c r="G127" s="19" t="n"/>
      <c r="H127" s="19" t="n"/>
      <c r="I127" s="19" t="n"/>
      <c r="J127" s="19" t="n"/>
      <c r="K127" s="19" t="n"/>
      <c r="L127" s="19" t="n"/>
      <c r="M127" s="21">
        <f>IF(OR(B127="",F127="",G127=""),"",IF(OR(F127&lt;&gt;"Buka",G127&lt;&gt;"Coffee shop/kafe"),0,IF(OR(H127="",I127=""),"",IF(AND(H127="Ya",I127&lt;&gt;"Tidak ada"),1,0))))</f>
        <v/>
      </c>
    </row>
    <row r="128">
      <c r="A128" t="n">
        <v>127</v>
      </c>
      <c r="B128" s="19" t="n"/>
      <c r="C128" s="19" t="n"/>
      <c r="D128" s="19" t="n"/>
      <c r="E128" s="20" t="n"/>
      <c r="F128" s="19" t="n"/>
      <c r="G128" s="19" t="n"/>
      <c r="H128" s="19" t="n"/>
      <c r="I128" s="19" t="n"/>
      <c r="J128" s="19" t="n"/>
      <c r="K128" s="19" t="n"/>
      <c r="L128" s="19" t="n"/>
      <c r="M128" s="21">
        <f>IF(OR(B128="",F128="",G128=""),"",IF(OR(F128&lt;&gt;"Buka",G128&lt;&gt;"Coffee shop/kafe"),0,IF(OR(H128="",I128=""),"",IF(AND(H128="Ya",I128&lt;&gt;"Tidak ada"),1,0))))</f>
        <v/>
      </c>
    </row>
    <row r="129">
      <c r="A129" t="n">
        <v>128</v>
      </c>
      <c r="B129" s="19" t="n"/>
      <c r="C129" s="19" t="n"/>
      <c r="D129" s="19" t="n"/>
      <c r="E129" s="20" t="n"/>
      <c r="F129" s="19" t="n"/>
      <c r="G129" s="19" t="n"/>
      <c r="H129" s="19" t="n"/>
      <c r="I129" s="19" t="n"/>
      <c r="J129" s="19" t="n"/>
      <c r="K129" s="19" t="n"/>
      <c r="L129" s="19" t="n"/>
      <c r="M129" s="21">
        <f>IF(OR(B129="",F129="",G129=""),"",IF(OR(F129&lt;&gt;"Buka",G129&lt;&gt;"Coffee shop/kafe"),0,IF(OR(H129="",I129=""),"",IF(AND(H129="Ya",I129&lt;&gt;"Tidak ada"),1,0))))</f>
        <v/>
      </c>
    </row>
    <row r="130">
      <c r="A130" t="n">
        <v>129</v>
      </c>
      <c r="B130" s="19" t="n"/>
      <c r="C130" s="19" t="n"/>
      <c r="D130" s="19" t="n"/>
      <c r="E130" s="20" t="n"/>
      <c r="F130" s="19" t="n"/>
      <c r="G130" s="19" t="n"/>
      <c r="H130" s="19" t="n"/>
      <c r="I130" s="19" t="n"/>
      <c r="J130" s="19" t="n"/>
      <c r="K130" s="19" t="n"/>
      <c r="L130" s="19" t="n"/>
      <c r="M130" s="21">
        <f>IF(OR(B130="",F130="",G130=""),"",IF(OR(F130&lt;&gt;"Buka",G130&lt;&gt;"Coffee shop/kafe"),0,IF(OR(H130="",I130=""),"",IF(AND(H130="Ya",I130&lt;&gt;"Tidak ada"),1,0))))</f>
        <v/>
      </c>
    </row>
    <row r="131">
      <c r="A131" t="n">
        <v>130</v>
      </c>
      <c r="B131" s="19" t="n"/>
      <c r="C131" s="19" t="n"/>
      <c r="D131" s="19" t="n"/>
      <c r="E131" s="20" t="n"/>
      <c r="F131" s="19" t="n"/>
      <c r="G131" s="19" t="n"/>
      <c r="H131" s="19" t="n"/>
      <c r="I131" s="19" t="n"/>
      <c r="J131" s="19" t="n"/>
      <c r="K131" s="19" t="n"/>
      <c r="L131" s="19" t="n"/>
      <c r="M131" s="21">
        <f>IF(OR(B131="",F131="",G131=""),"",IF(OR(F131&lt;&gt;"Buka",G131&lt;&gt;"Coffee shop/kafe"),0,IF(OR(H131="",I131=""),"",IF(AND(H131="Ya",I131&lt;&gt;"Tidak ada"),1,0))))</f>
        <v/>
      </c>
    </row>
    <row r="132">
      <c r="A132" t="n">
        <v>131</v>
      </c>
      <c r="B132" s="19" t="n"/>
      <c r="C132" s="19" t="n"/>
      <c r="D132" s="19" t="n"/>
      <c r="E132" s="20" t="n"/>
      <c r="F132" s="19" t="n"/>
      <c r="G132" s="19" t="n"/>
      <c r="H132" s="19" t="n"/>
      <c r="I132" s="19" t="n"/>
      <c r="J132" s="19" t="n"/>
      <c r="K132" s="19" t="n"/>
      <c r="L132" s="19" t="n"/>
      <c r="M132" s="21">
        <f>IF(OR(B132="",F132="",G132=""),"",IF(OR(F132&lt;&gt;"Buka",G132&lt;&gt;"Coffee shop/kafe"),0,IF(OR(H132="",I132=""),"",IF(AND(H132="Ya",I132&lt;&gt;"Tidak ada"),1,0))))</f>
        <v/>
      </c>
    </row>
    <row r="133">
      <c r="A133" t="n">
        <v>132</v>
      </c>
      <c r="B133" s="19" t="n"/>
      <c r="C133" s="19" t="n"/>
      <c r="D133" s="19" t="n"/>
      <c r="E133" s="20" t="n"/>
      <c r="F133" s="19" t="n"/>
      <c r="G133" s="19" t="n"/>
      <c r="H133" s="19" t="n"/>
      <c r="I133" s="19" t="n"/>
      <c r="J133" s="19" t="n"/>
      <c r="K133" s="19" t="n"/>
      <c r="L133" s="19" t="n"/>
      <c r="M133" s="21">
        <f>IF(OR(B133="",F133="",G133=""),"",IF(OR(F133&lt;&gt;"Buka",G133&lt;&gt;"Coffee shop/kafe"),0,IF(OR(H133="",I133=""),"",IF(AND(H133="Ya",I133&lt;&gt;"Tidak ada"),1,0))))</f>
        <v/>
      </c>
    </row>
    <row r="134">
      <c r="A134" t="n">
        <v>133</v>
      </c>
      <c r="B134" s="19" t="n"/>
      <c r="C134" s="19" t="n"/>
      <c r="D134" s="19" t="n"/>
      <c r="E134" s="20" t="n"/>
      <c r="F134" s="19" t="n"/>
      <c r="G134" s="19" t="n"/>
      <c r="H134" s="19" t="n"/>
      <c r="I134" s="19" t="n"/>
      <c r="J134" s="19" t="n"/>
      <c r="K134" s="19" t="n"/>
      <c r="L134" s="19" t="n"/>
      <c r="M134" s="21">
        <f>IF(OR(B134="",F134="",G134=""),"",IF(OR(F134&lt;&gt;"Buka",G134&lt;&gt;"Coffee shop/kafe"),0,IF(OR(H134="",I134=""),"",IF(AND(H134="Ya",I134&lt;&gt;"Tidak ada"),1,0))))</f>
        <v/>
      </c>
    </row>
    <row r="135">
      <c r="A135" t="n">
        <v>134</v>
      </c>
      <c r="B135" s="19" t="n"/>
      <c r="C135" s="19" t="n"/>
      <c r="D135" s="19" t="n"/>
      <c r="E135" s="20" t="n"/>
      <c r="F135" s="19" t="n"/>
      <c r="G135" s="19" t="n"/>
      <c r="H135" s="19" t="n"/>
      <c r="I135" s="19" t="n"/>
      <c r="J135" s="19" t="n"/>
      <c r="K135" s="19" t="n"/>
      <c r="L135" s="19" t="n"/>
      <c r="M135" s="21">
        <f>IF(OR(B135="",F135="",G135=""),"",IF(OR(F135&lt;&gt;"Buka",G135&lt;&gt;"Coffee shop/kafe"),0,IF(OR(H135="",I135=""),"",IF(AND(H135="Ya",I135&lt;&gt;"Tidak ada"),1,0))))</f>
        <v/>
      </c>
    </row>
    <row r="136">
      <c r="A136" t="n">
        <v>135</v>
      </c>
      <c r="B136" s="19" t="n"/>
      <c r="C136" s="19" t="n"/>
      <c r="D136" s="19" t="n"/>
      <c r="E136" s="20" t="n"/>
      <c r="F136" s="19" t="n"/>
      <c r="G136" s="19" t="n"/>
      <c r="H136" s="19" t="n"/>
      <c r="I136" s="19" t="n"/>
      <c r="J136" s="19" t="n"/>
      <c r="K136" s="19" t="n"/>
      <c r="L136" s="19" t="n"/>
      <c r="M136" s="21">
        <f>IF(OR(B136="",F136="",G136=""),"",IF(OR(F136&lt;&gt;"Buka",G136&lt;&gt;"Coffee shop/kafe"),0,IF(OR(H136="",I136=""),"",IF(AND(H136="Ya",I136&lt;&gt;"Tidak ada"),1,0))))</f>
        <v/>
      </c>
    </row>
    <row r="137">
      <c r="A137" t="n">
        <v>136</v>
      </c>
      <c r="B137" s="19" t="n"/>
      <c r="C137" s="19" t="n"/>
      <c r="D137" s="19" t="n"/>
      <c r="E137" s="20" t="n"/>
      <c r="F137" s="19" t="n"/>
      <c r="G137" s="19" t="n"/>
      <c r="H137" s="19" t="n"/>
      <c r="I137" s="19" t="n"/>
      <c r="J137" s="19" t="n"/>
      <c r="K137" s="19" t="n"/>
      <c r="L137" s="19" t="n"/>
      <c r="M137" s="21">
        <f>IF(OR(B137="",F137="",G137=""),"",IF(OR(F137&lt;&gt;"Buka",G137&lt;&gt;"Coffee shop/kafe"),0,IF(OR(H137="",I137=""),"",IF(AND(H137="Ya",I137&lt;&gt;"Tidak ada"),1,0))))</f>
        <v/>
      </c>
    </row>
    <row r="138">
      <c r="A138" t="n">
        <v>137</v>
      </c>
      <c r="B138" s="19" t="n"/>
      <c r="C138" s="19" t="n"/>
      <c r="D138" s="19" t="n"/>
      <c r="E138" s="20" t="n"/>
      <c r="F138" s="19" t="n"/>
      <c r="G138" s="19" t="n"/>
      <c r="H138" s="19" t="n"/>
      <c r="I138" s="19" t="n"/>
      <c r="J138" s="19" t="n"/>
      <c r="K138" s="19" t="n"/>
      <c r="L138" s="19" t="n"/>
      <c r="M138" s="21">
        <f>IF(OR(B138="",F138="",G138=""),"",IF(OR(F138&lt;&gt;"Buka",G138&lt;&gt;"Coffee shop/kafe"),0,IF(OR(H138="",I138=""),"",IF(AND(H138="Ya",I138&lt;&gt;"Tidak ada"),1,0))))</f>
        <v/>
      </c>
    </row>
    <row r="139">
      <c r="A139" t="n">
        <v>138</v>
      </c>
      <c r="B139" s="19" t="n"/>
      <c r="C139" s="19" t="n"/>
      <c r="D139" s="19" t="n"/>
      <c r="E139" s="20" t="n"/>
      <c r="F139" s="19" t="n"/>
      <c r="G139" s="19" t="n"/>
      <c r="H139" s="19" t="n"/>
      <c r="I139" s="19" t="n"/>
      <c r="J139" s="19" t="n"/>
      <c r="K139" s="19" t="n"/>
      <c r="L139" s="19" t="n"/>
      <c r="M139" s="21">
        <f>IF(OR(B139="",F139="",G139=""),"",IF(OR(F139&lt;&gt;"Buka",G139&lt;&gt;"Coffee shop/kafe"),0,IF(OR(H139="",I139=""),"",IF(AND(H139="Ya",I139&lt;&gt;"Tidak ada"),1,0))))</f>
        <v/>
      </c>
    </row>
    <row r="140">
      <c r="A140" t="n">
        <v>139</v>
      </c>
      <c r="B140" s="19" t="n"/>
      <c r="C140" s="19" t="n"/>
      <c r="D140" s="19" t="n"/>
      <c r="E140" s="20" t="n"/>
      <c r="F140" s="19" t="n"/>
      <c r="G140" s="19" t="n"/>
      <c r="H140" s="19" t="n"/>
      <c r="I140" s="19" t="n"/>
      <c r="J140" s="19" t="n"/>
      <c r="K140" s="19" t="n"/>
      <c r="L140" s="19" t="n"/>
      <c r="M140" s="21">
        <f>IF(OR(B140="",F140="",G140=""),"",IF(OR(F140&lt;&gt;"Buka",G140&lt;&gt;"Coffee shop/kafe"),0,IF(OR(H140="",I140=""),"",IF(AND(H140="Ya",I140&lt;&gt;"Tidak ada"),1,0))))</f>
        <v/>
      </c>
    </row>
    <row r="141">
      <c r="A141" t="n">
        <v>140</v>
      </c>
      <c r="B141" s="19" t="n"/>
      <c r="C141" s="19" t="n"/>
      <c r="D141" s="19" t="n"/>
      <c r="E141" s="20" t="n"/>
      <c r="F141" s="19" t="n"/>
      <c r="G141" s="19" t="n"/>
      <c r="H141" s="19" t="n"/>
      <c r="I141" s="19" t="n"/>
      <c r="J141" s="19" t="n"/>
      <c r="K141" s="19" t="n"/>
      <c r="L141" s="19" t="n"/>
      <c r="M141" s="21">
        <f>IF(OR(B141="",F141="",G141=""),"",IF(OR(F141&lt;&gt;"Buka",G141&lt;&gt;"Coffee shop/kafe"),0,IF(OR(H141="",I141=""),"",IF(AND(H141="Ya",I141&lt;&gt;"Tidak ada"),1,0))))</f>
        <v/>
      </c>
    </row>
    <row r="142">
      <c r="A142" t="n">
        <v>141</v>
      </c>
      <c r="B142" s="19" t="n"/>
      <c r="C142" s="19" t="n"/>
      <c r="D142" s="19" t="n"/>
      <c r="E142" s="20" t="n"/>
      <c r="F142" s="19" t="n"/>
      <c r="G142" s="19" t="n"/>
      <c r="H142" s="19" t="n"/>
      <c r="I142" s="19" t="n"/>
      <c r="J142" s="19" t="n"/>
      <c r="K142" s="19" t="n"/>
      <c r="L142" s="19" t="n"/>
      <c r="M142" s="21">
        <f>IF(OR(B142="",F142="",G142=""),"",IF(OR(F142&lt;&gt;"Buka",G142&lt;&gt;"Coffee shop/kafe"),0,IF(OR(H142="",I142=""),"",IF(AND(H142="Ya",I142&lt;&gt;"Tidak ada"),1,0))))</f>
        <v/>
      </c>
    </row>
    <row r="143">
      <c r="A143" t="n">
        <v>142</v>
      </c>
      <c r="B143" s="19" t="n"/>
      <c r="C143" s="19" t="n"/>
      <c r="D143" s="19" t="n"/>
      <c r="E143" s="20" t="n"/>
      <c r="F143" s="19" t="n"/>
      <c r="G143" s="19" t="n"/>
      <c r="H143" s="19" t="n"/>
      <c r="I143" s="19" t="n"/>
      <c r="J143" s="19" t="n"/>
      <c r="K143" s="19" t="n"/>
      <c r="L143" s="19" t="n"/>
      <c r="M143" s="21">
        <f>IF(OR(B143="",F143="",G143=""),"",IF(OR(F143&lt;&gt;"Buka",G143&lt;&gt;"Coffee shop/kafe"),0,IF(OR(H143="",I143=""),"",IF(AND(H143="Ya",I143&lt;&gt;"Tidak ada"),1,0))))</f>
        <v/>
      </c>
    </row>
    <row r="144">
      <c r="A144" t="n">
        <v>143</v>
      </c>
      <c r="B144" s="19" t="n"/>
      <c r="C144" s="19" t="n"/>
      <c r="D144" s="19" t="n"/>
      <c r="E144" s="20" t="n"/>
      <c r="F144" s="19" t="n"/>
      <c r="G144" s="19" t="n"/>
      <c r="H144" s="19" t="n"/>
      <c r="I144" s="19" t="n"/>
      <c r="J144" s="19" t="n"/>
      <c r="K144" s="19" t="n"/>
      <c r="L144" s="19" t="n"/>
      <c r="M144" s="21">
        <f>IF(OR(B144="",F144="",G144=""),"",IF(OR(F144&lt;&gt;"Buka",G144&lt;&gt;"Coffee shop/kafe"),0,IF(OR(H144="",I144=""),"",IF(AND(H144="Ya",I144&lt;&gt;"Tidak ada"),1,0))))</f>
        <v/>
      </c>
    </row>
    <row r="145">
      <c r="A145" t="n">
        <v>144</v>
      </c>
      <c r="B145" s="19" t="n"/>
      <c r="C145" s="19" t="n"/>
      <c r="D145" s="19" t="n"/>
      <c r="E145" s="20" t="n"/>
      <c r="F145" s="19" t="n"/>
      <c r="G145" s="19" t="n"/>
      <c r="H145" s="19" t="n"/>
      <c r="I145" s="19" t="n"/>
      <c r="J145" s="19" t="n"/>
      <c r="K145" s="19" t="n"/>
      <c r="L145" s="19" t="n"/>
      <c r="M145" s="21">
        <f>IF(OR(B145="",F145="",G145=""),"",IF(OR(F145&lt;&gt;"Buka",G145&lt;&gt;"Coffee shop/kafe"),0,IF(OR(H145="",I145=""),"",IF(AND(H145="Ya",I145&lt;&gt;"Tidak ada"),1,0))))</f>
        <v/>
      </c>
    </row>
    <row r="146">
      <c r="A146" t="n">
        <v>145</v>
      </c>
      <c r="B146" s="19" t="n"/>
      <c r="C146" s="19" t="n"/>
      <c r="D146" s="19" t="n"/>
      <c r="E146" s="20" t="n"/>
      <c r="F146" s="19" t="n"/>
      <c r="G146" s="19" t="n"/>
      <c r="H146" s="19" t="n"/>
      <c r="I146" s="19" t="n"/>
      <c r="J146" s="19" t="n"/>
      <c r="K146" s="19" t="n"/>
      <c r="L146" s="19" t="n"/>
      <c r="M146" s="21">
        <f>IF(OR(B146="",F146="",G146=""),"",IF(OR(F146&lt;&gt;"Buka",G146&lt;&gt;"Coffee shop/kafe"),0,IF(OR(H146="",I146=""),"",IF(AND(H146="Ya",I146&lt;&gt;"Tidak ada"),1,0))))</f>
        <v/>
      </c>
    </row>
    <row r="147">
      <c r="A147" t="n">
        <v>146</v>
      </c>
      <c r="B147" s="19" t="n"/>
      <c r="C147" s="19" t="n"/>
      <c r="D147" s="19" t="n"/>
      <c r="E147" s="20" t="n"/>
      <c r="F147" s="19" t="n"/>
      <c r="G147" s="19" t="n"/>
      <c r="H147" s="19" t="n"/>
      <c r="I147" s="19" t="n"/>
      <c r="J147" s="19" t="n"/>
      <c r="K147" s="19" t="n"/>
      <c r="L147" s="19" t="n"/>
      <c r="M147" s="21">
        <f>IF(OR(B147="",F147="",G147=""),"",IF(OR(F147&lt;&gt;"Buka",G147&lt;&gt;"Coffee shop/kafe"),0,IF(OR(H147="",I147=""),"",IF(AND(H147="Ya",I147&lt;&gt;"Tidak ada"),1,0))))</f>
        <v/>
      </c>
    </row>
    <row r="148">
      <c r="A148" t="n">
        <v>147</v>
      </c>
      <c r="B148" s="19" t="n"/>
      <c r="C148" s="19" t="n"/>
      <c r="D148" s="19" t="n"/>
      <c r="E148" s="20" t="n"/>
      <c r="F148" s="19" t="n"/>
      <c r="G148" s="19" t="n"/>
      <c r="H148" s="19" t="n"/>
      <c r="I148" s="19" t="n"/>
      <c r="J148" s="19" t="n"/>
      <c r="K148" s="19" t="n"/>
      <c r="L148" s="19" t="n"/>
      <c r="M148" s="21">
        <f>IF(OR(B148="",F148="",G148=""),"",IF(OR(F148&lt;&gt;"Buka",G148&lt;&gt;"Coffee shop/kafe"),0,IF(OR(H148="",I148=""),"",IF(AND(H148="Ya",I148&lt;&gt;"Tidak ada"),1,0))))</f>
        <v/>
      </c>
    </row>
    <row r="149">
      <c r="A149" t="n">
        <v>148</v>
      </c>
      <c r="B149" s="19" t="n"/>
      <c r="C149" s="19" t="n"/>
      <c r="D149" s="19" t="n"/>
      <c r="E149" s="20" t="n"/>
      <c r="F149" s="19" t="n"/>
      <c r="G149" s="19" t="n"/>
      <c r="H149" s="19" t="n"/>
      <c r="I149" s="19" t="n"/>
      <c r="J149" s="19" t="n"/>
      <c r="K149" s="19" t="n"/>
      <c r="L149" s="19" t="n"/>
      <c r="M149" s="21">
        <f>IF(OR(B149="",F149="",G149=""),"",IF(OR(F149&lt;&gt;"Buka",G149&lt;&gt;"Coffee shop/kafe"),0,IF(OR(H149="",I149=""),"",IF(AND(H149="Ya",I149&lt;&gt;"Tidak ada"),1,0))))</f>
        <v/>
      </c>
    </row>
    <row r="150">
      <c r="A150" t="n">
        <v>149</v>
      </c>
      <c r="B150" s="19" t="n"/>
      <c r="C150" s="19" t="n"/>
      <c r="D150" s="19" t="n"/>
      <c r="E150" s="20" t="n"/>
      <c r="F150" s="19" t="n"/>
      <c r="G150" s="19" t="n"/>
      <c r="H150" s="19" t="n"/>
      <c r="I150" s="19" t="n"/>
      <c r="J150" s="19" t="n"/>
      <c r="K150" s="19" t="n"/>
      <c r="L150" s="19" t="n"/>
      <c r="M150" s="21">
        <f>IF(OR(B150="",F150="",G150=""),"",IF(OR(F150&lt;&gt;"Buka",G150&lt;&gt;"Coffee shop/kafe"),0,IF(OR(H150="",I150=""),"",IF(AND(H150="Ya",I150&lt;&gt;"Tidak ada"),1,0))))</f>
        <v/>
      </c>
    </row>
    <row r="151">
      <c r="A151" t="n">
        <v>150</v>
      </c>
      <c r="B151" s="19" t="n"/>
      <c r="C151" s="19" t="n"/>
      <c r="D151" s="19" t="n"/>
      <c r="E151" s="20" t="n"/>
      <c r="F151" s="19" t="n"/>
      <c r="G151" s="19" t="n"/>
      <c r="H151" s="19" t="n"/>
      <c r="I151" s="19" t="n"/>
      <c r="J151" s="19" t="n"/>
      <c r="K151" s="19" t="n"/>
      <c r="L151" s="19" t="n"/>
      <c r="M151" s="21">
        <f>IF(OR(B151="",F151="",G151=""),"",IF(OR(F151&lt;&gt;"Buka",G151&lt;&gt;"Coffee shop/kafe"),0,IF(OR(H151="",I151=""),"",IF(AND(H151="Ya",I151&lt;&gt;"Tidak ada"),1,0))))</f>
        <v/>
      </c>
    </row>
    <row r="152">
      <c r="A152" t="n">
        <v>151</v>
      </c>
      <c r="B152" s="19" t="n"/>
      <c r="C152" s="19" t="n"/>
      <c r="D152" s="19" t="n"/>
      <c r="E152" s="20" t="n"/>
      <c r="F152" s="19" t="n"/>
      <c r="G152" s="19" t="n"/>
      <c r="H152" s="19" t="n"/>
      <c r="I152" s="19" t="n"/>
      <c r="J152" s="19" t="n"/>
      <c r="K152" s="19" t="n"/>
      <c r="L152" s="19" t="n"/>
      <c r="M152" s="21">
        <f>IF(OR(B152="",F152="",G152=""),"",IF(OR(F152&lt;&gt;"Buka",G152&lt;&gt;"Coffee shop/kafe"),0,IF(OR(H152="",I152=""),"",IF(AND(H152="Ya",I152&lt;&gt;"Tidak ada"),1,0))))</f>
        <v/>
      </c>
    </row>
    <row r="153">
      <c r="A153" t="n">
        <v>152</v>
      </c>
      <c r="B153" s="19" t="n"/>
      <c r="C153" s="19" t="n"/>
      <c r="D153" s="19" t="n"/>
      <c r="E153" s="20" t="n"/>
      <c r="F153" s="19" t="n"/>
      <c r="G153" s="19" t="n"/>
      <c r="H153" s="19" t="n"/>
      <c r="I153" s="19" t="n"/>
      <c r="J153" s="19" t="n"/>
      <c r="K153" s="19" t="n"/>
      <c r="L153" s="19" t="n"/>
      <c r="M153" s="21">
        <f>IF(OR(B153="",F153="",G153=""),"",IF(OR(F153&lt;&gt;"Buka",G153&lt;&gt;"Coffee shop/kafe"),0,IF(OR(H153="",I153=""),"",IF(AND(H153="Ya",I153&lt;&gt;"Tidak ada"),1,0))))</f>
        <v/>
      </c>
    </row>
    <row r="154">
      <c r="A154" t="n">
        <v>153</v>
      </c>
      <c r="B154" s="19" t="n"/>
      <c r="C154" s="19" t="n"/>
      <c r="D154" s="19" t="n"/>
      <c r="E154" s="20" t="n"/>
      <c r="F154" s="19" t="n"/>
      <c r="G154" s="19" t="n"/>
      <c r="H154" s="19" t="n"/>
      <c r="I154" s="19" t="n"/>
      <c r="J154" s="19" t="n"/>
      <c r="K154" s="19" t="n"/>
      <c r="L154" s="19" t="n"/>
      <c r="M154" s="21">
        <f>IF(OR(B154="",F154="",G154=""),"",IF(OR(F154&lt;&gt;"Buka",G154&lt;&gt;"Coffee shop/kafe"),0,IF(OR(H154="",I154=""),"",IF(AND(H154="Ya",I154&lt;&gt;"Tidak ada"),1,0))))</f>
        <v/>
      </c>
    </row>
    <row r="155">
      <c r="A155" t="n">
        <v>154</v>
      </c>
      <c r="B155" s="19" t="n"/>
      <c r="C155" s="19" t="n"/>
      <c r="D155" s="19" t="n"/>
      <c r="E155" s="20" t="n"/>
      <c r="F155" s="19" t="n"/>
      <c r="G155" s="19" t="n"/>
      <c r="H155" s="19" t="n"/>
      <c r="I155" s="19" t="n"/>
      <c r="J155" s="19" t="n"/>
      <c r="K155" s="19" t="n"/>
      <c r="L155" s="19" t="n"/>
      <c r="M155" s="21">
        <f>IF(OR(B155="",F155="",G155=""),"",IF(OR(F155&lt;&gt;"Buka",G155&lt;&gt;"Coffee shop/kafe"),0,IF(OR(H155="",I155=""),"",IF(AND(H155="Ya",I155&lt;&gt;"Tidak ada"),1,0))))</f>
        <v/>
      </c>
    </row>
    <row r="156">
      <c r="A156" t="n">
        <v>155</v>
      </c>
      <c r="B156" s="19" t="n"/>
      <c r="C156" s="19" t="n"/>
      <c r="D156" s="19" t="n"/>
      <c r="E156" s="20" t="n"/>
      <c r="F156" s="19" t="n"/>
      <c r="G156" s="19" t="n"/>
      <c r="H156" s="19" t="n"/>
      <c r="I156" s="19" t="n"/>
      <c r="J156" s="19" t="n"/>
      <c r="K156" s="19" t="n"/>
      <c r="L156" s="19" t="n"/>
      <c r="M156" s="21">
        <f>IF(OR(B156="",F156="",G156=""),"",IF(OR(F156&lt;&gt;"Buka",G156&lt;&gt;"Coffee shop/kafe"),0,IF(OR(H156="",I156=""),"",IF(AND(H156="Ya",I156&lt;&gt;"Tidak ada"),1,0))))</f>
        <v/>
      </c>
    </row>
    <row r="157">
      <c r="A157" t="n">
        <v>156</v>
      </c>
      <c r="B157" s="19" t="n"/>
      <c r="C157" s="19" t="n"/>
      <c r="D157" s="19" t="n"/>
      <c r="E157" s="20" t="n"/>
      <c r="F157" s="19" t="n"/>
      <c r="G157" s="19" t="n"/>
      <c r="H157" s="19" t="n"/>
      <c r="I157" s="19" t="n"/>
      <c r="J157" s="19" t="n"/>
      <c r="K157" s="19" t="n"/>
      <c r="L157" s="19" t="n"/>
      <c r="M157" s="21">
        <f>IF(OR(B157="",F157="",G157=""),"",IF(OR(F157&lt;&gt;"Buka",G157&lt;&gt;"Coffee shop/kafe"),0,IF(OR(H157="",I157=""),"",IF(AND(H157="Ya",I157&lt;&gt;"Tidak ada"),1,0))))</f>
        <v/>
      </c>
    </row>
    <row r="158">
      <c r="A158" t="n">
        <v>157</v>
      </c>
      <c r="B158" s="19" t="n"/>
      <c r="C158" s="19" t="n"/>
      <c r="D158" s="19" t="n"/>
      <c r="E158" s="20" t="n"/>
      <c r="F158" s="19" t="n"/>
      <c r="G158" s="19" t="n"/>
      <c r="H158" s="19" t="n"/>
      <c r="I158" s="19" t="n"/>
      <c r="J158" s="19" t="n"/>
      <c r="K158" s="19" t="n"/>
      <c r="L158" s="19" t="n"/>
      <c r="M158" s="21">
        <f>IF(OR(B158="",F158="",G158=""),"",IF(OR(F158&lt;&gt;"Buka",G158&lt;&gt;"Coffee shop/kafe"),0,IF(OR(H158="",I158=""),"",IF(AND(H158="Ya",I158&lt;&gt;"Tidak ada"),1,0))))</f>
        <v/>
      </c>
    </row>
    <row r="159">
      <c r="A159" t="n">
        <v>158</v>
      </c>
      <c r="B159" s="19" t="n"/>
      <c r="C159" s="19" t="n"/>
      <c r="D159" s="19" t="n"/>
      <c r="E159" s="20" t="n"/>
      <c r="F159" s="19" t="n"/>
      <c r="G159" s="19" t="n"/>
      <c r="H159" s="19" t="n"/>
      <c r="I159" s="19" t="n"/>
      <c r="J159" s="19" t="n"/>
      <c r="K159" s="19" t="n"/>
      <c r="L159" s="19" t="n"/>
      <c r="M159" s="21">
        <f>IF(OR(B159="",F159="",G159=""),"",IF(OR(F159&lt;&gt;"Buka",G159&lt;&gt;"Coffee shop/kafe"),0,IF(OR(H159="",I159=""),"",IF(AND(H159="Ya",I159&lt;&gt;"Tidak ada"),1,0))))</f>
        <v/>
      </c>
    </row>
    <row r="160">
      <c r="A160" t="n">
        <v>159</v>
      </c>
      <c r="B160" s="19" t="n"/>
      <c r="C160" s="19" t="n"/>
      <c r="D160" s="19" t="n"/>
      <c r="E160" s="20" t="n"/>
      <c r="F160" s="19" t="n"/>
      <c r="G160" s="19" t="n"/>
      <c r="H160" s="19" t="n"/>
      <c r="I160" s="19" t="n"/>
      <c r="J160" s="19" t="n"/>
      <c r="K160" s="19" t="n"/>
      <c r="L160" s="19" t="n"/>
      <c r="M160" s="21">
        <f>IF(OR(B160="",F160="",G160=""),"",IF(OR(F160&lt;&gt;"Buka",G160&lt;&gt;"Coffee shop/kafe"),0,IF(OR(H160="",I160=""),"",IF(AND(H160="Ya",I160&lt;&gt;"Tidak ada"),1,0))))</f>
        <v/>
      </c>
    </row>
    <row r="161">
      <c r="A161" t="n">
        <v>160</v>
      </c>
      <c r="B161" s="19" t="n"/>
      <c r="C161" s="19" t="n"/>
      <c r="D161" s="19" t="n"/>
      <c r="E161" s="20" t="n"/>
      <c r="F161" s="19" t="n"/>
      <c r="G161" s="19" t="n"/>
      <c r="H161" s="19" t="n"/>
      <c r="I161" s="19" t="n"/>
      <c r="J161" s="19" t="n"/>
      <c r="K161" s="19" t="n"/>
      <c r="L161" s="19" t="n"/>
      <c r="M161" s="21">
        <f>IF(OR(B161="",F161="",G161=""),"",IF(OR(F161&lt;&gt;"Buka",G161&lt;&gt;"Coffee shop/kafe"),0,IF(OR(H161="",I161=""),"",IF(AND(H161="Ya",I161&lt;&gt;"Tidak ada"),1,0))))</f>
        <v/>
      </c>
    </row>
    <row r="162">
      <c r="A162" t="n">
        <v>161</v>
      </c>
      <c r="B162" s="19" t="n"/>
      <c r="C162" s="19" t="n"/>
      <c r="D162" s="19" t="n"/>
      <c r="E162" s="20" t="n"/>
      <c r="F162" s="19" t="n"/>
      <c r="G162" s="19" t="n"/>
      <c r="H162" s="19" t="n"/>
      <c r="I162" s="19" t="n"/>
      <c r="J162" s="19" t="n"/>
      <c r="K162" s="19" t="n"/>
      <c r="L162" s="19" t="n"/>
      <c r="M162" s="21">
        <f>IF(OR(B162="",F162="",G162=""),"",IF(OR(F162&lt;&gt;"Buka",G162&lt;&gt;"Coffee shop/kafe"),0,IF(OR(H162="",I162=""),"",IF(AND(H162="Ya",I162&lt;&gt;"Tidak ada"),1,0))))</f>
        <v/>
      </c>
    </row>
    <row r="163">
      <c r="A163" t="n">
        <v>162</v>
      </c>
      <c r="B163" s="19" t="n"/>
      <c r="C163" s="19" t="n"/>
      <c r="D163" s="19" t="n"/>
      <c r="E163" s="20" t="n"/>
      <c r="F163" s="19" t="n"/>
      <c r="G163" s="19" t="n"/>
      <c r="H163" s="19" t="n"/>
      <c r="I163" s="19" t="n"/>
      <c r="J163" s="19" t="n"/>
      <c r="K163" s="19" t="n"/>
      <c r="L163" s="19" t="n"/>
      <c r="M163" s="21">
        <f>IF(OR(B163="",F163="",G163=""),"",IF(OR(F163&lt;&gt;"Buka",G163&lt;&gt;"Coffee shop/kafe"),0,IF(OR(H163="",I163=""),"",IF(AND(H163="Ya",I163&lt;&gt;"Tidak ada"),1,0))))</f>
        <v/>
      </c>
    </row>
    <row r="164">
      <c r="A164" t="n">
        <v>163</v>
      </c>
      <c r="B164" s="19" t="n"/>
      <c r="C164" s="19" t="n"/>
      <c r="D164" s="19" t="n"/>
      <c r="E164" s="20" t="n"/>
      <c r="F164" s="19" t="n"/>
      <c r="G164" s="19" t="n"/>
      <c r="H164" s="19" t="n"/>
      <c r="I164" s="19" t="n"/>
      <c r="J164" s="19" t="n"/>
      <c r="K164" s="19" t="n"/>
      <c r="L164" s="19" t="n"/>
      <c r="M164" s="21">
        <f>IF(OR(B164="",F164="",G164=""),"",IF(OR(F164&lt;&gt;"Buka",G164&lt;&gt;"Coffee shop/kafe"),0,IF(OR(H164="",I164=""),"",IF(AND(H164="Ya",I164&lt;&gt;"Tidak ada"),1,0))))</f>
        <v/>
      </c>
    </row>
    <row r="165">
      <c r="A165" t="n">
        <v>164</v>
      </c>
      <c r="B165" s="19" t="n"/>
      <c r="C165" s="19" t="n"/>
      <c r="D165" s="19" t="n"/>
      <c r="E165" s="20" t="n"/>
      <c r="F165" s="19" t="n"/>
      <c r="G165" s="19" t="n"/>
      <c r="H165" s="19" t="n"/>
      <c r="I165" s="19" t="n"/>
      <c r="J165" s="19" t="n"/>
      <c r="K165" s="19" t="n"/>
      <c r="L165" s="19" t="n"/>
      <c r="M165" s="21">
        <f>IF(OR(B165="",F165="",G165=""),"",IF(OR(F165&lt;&gt;"Buka",G165&lt;&gt;"Coffee shop/kafe"),0,IF(OR(H165="",I165=""),"",IF(AND(H165="Ya",I165&lt;&gt;"Tidak ada"),1,0))))</f>
        <v/>
      </c>
    </row>
    <row r="166">
      <c r="A166" t="n">
        <v>165</v>
      </c>
      <c r="B166" s="19" t="n"/>
      <c r="C166" s="19" t="n"/>
      <c r="D166" s="19" t="n"/>
      <c r="E166" s="20" t="n"/>
      <c r="F166" s="19" t="n"/>
      <c r="G166" s="19" t="n"/>
      <c r="H166" s="19" t="n"/>
      <c r="I166" s="19" t="n"/>
      <c r="J166" s="19" t="n"/>
      <c r="K166" s="19" t="n"/>
      <c r="L166" s="19" t="n"/>
      <c r="M166" s="21">
        <f>IF(OR(B166="",F166="",G166=""),"",IF(OR(F166&lt;&gt;"Buka",G166&lt;&gt;"Coffee shop/kafe"),0,IF(OR(H166="",I166=""),"",IF(AND(H166="Ya",I166&lt;&gt;"Tidak ada"),1,0))))</f>
        <v/>
      </c>
    </row>
    <row r="167">
      <c r="A167" t="n">
        <v>166</v>
      </c>
      <c r="B167" s="19" t="n"/>
      <c r="C167" s="19" t="n"/>
      <c r="D167" s="19" t="n"/>
      <c r="E167" s="20" t="n"/>
      <c r="F167" s="19" t="n"/>
      <c r="G167" s="19" t="n"/>
      <c r="H167" s="19" t="n"/>
      <c r="I167" s="19" t="n"/>
      <c r="J167" s="19" t="n"/>
      <c r="K167" s="19" t="n"/>
      <c r="L167" s="19" t="n"/>
      <c r="M167" s="21">
        <f>IF(OR(B167="",F167="",G167=""),"",IF(OR(F167&lt;&gt;"Buka",G167&lt;&gt;"Coffee shop/kafe"),0,IF(OR(H167="",I167=""),"",IF(AND(H167="Ya",I167&lt;&gt;"Tidak ada"),1,0))))</f>
        <v/>
      </c>
    </row>
    <row r="168">
      <c r="A168" t="n">
        <v>167</v>
      </c>
      <c r="B168" s="19" t="n"/>
      <c r="C168" s="19" t="n"/>
      <c r="D168" s="19" t="n"/>
      <c r="E168" s="20" t="n"/>
      <c r="F168" s="19" t="n"/>
      <c r="G168" s="19" t="n"/>
      <c r="H168" s="19" t="n"/>
      <c r="I168" s="19" t="n"/>
      <c r="J168" s="19" t="n"/>
      <c r="K168" s="19" t="n"/>
      <c r="L168" s="19" t="n"/>
      <c r="M168" s="21">
        <f>IF(OR(B168="",F168="",G168=""),"",IF(OR(F168&lt;&gt;"Buka",G168&lt;&gt;"Coffee shop/kafe"),0,IF(OR(H168="",I168=""),"",IF(AND(H168="Ya",I168&lt;&gt;"Tidak ada"),1,0))))</f>
        <v/>
      </c>
    </row>
    <row r="169">
      <c r="A169" t="n">
        <v>168</v>
      </c>
      <c r="B169" s="19" t="n"/>
      <c r="C169" s="19" t="n"/>
      <c r="D169" s="19" t="n"/>
      <c r="E169" s="20" t="n"/>
      <c r="F169" s="19" t="n"/>
      <c r="G169" s="19" t="n"/>
      <c r="H169" s="19" t="n"/>
      <c r="I169" s="19" t="n"/>
      <c r="J169" s="19" t="n"/>
      <c r="K169" s="19" t="n"/>
      <c r="L169" s="19" t="n"/>
      <c r="M169" s="21">
        <f>IF(OR(B169="",F169="",G169=""),"",IF(OR(F169&lt;&gt;"Buka",G169&lt;&gt;"Coffee shop/kafe"),0,IF(OR(H169="",I169=""),"",IF(AND(H169="Ya",I169&lt;&gt;"Tidak ada"),1,0))))</f>
        <v/>
      </c>
    </row>
    <row r="170">
      <c r="A170" t="n">
        <v>169</v>
      </c>
      <c r="B170" s="19" t="n"/>
      <c r="C170" s="19" t="n"/>
      <c r="D170" s="19" t="n"/>
      <c r="E170" s="20" t="n"/>
      <c r="F170" s="19" t="n"/>
      <c r="G170" s="19" t="n"/>
      <c r="H170" s="19" t="n"/>
      <c r="I170" s="19" t="n"/>
      <c r="J170" s="19" t="n"/>
      <c r="K170" s="19" t="n"/>
      <c r="L170" s="19" t="n"/>
      <c r="M170" s="21">
        <f>IF(OR(B170="",F170="",G170=""),"",IF(OR(F170&lt;&gt;"Buka",G170&lt;&gt;"Coffee shop/kafe"),0,IF(OR(H170="",I170=""),"",IF(AND(H170="Ya",I170&lt;&gt;"Tidak ada"),1,0))))</f>
        <v/>
      </c>
    </row>
    <row r="171">
      <c r="A171" t="n">
        <v>170</v>
      </c>
      <c r="B171" s="19" t="n"/>
      <c r="C171" s="19" t="n"/>
      <c r="D171" s="19" t="n"/>
      <c r="E171" s="20" t="n"/>
      <c r="F171" s="19" t="n"/>
      <c r="G171" s="19" t="n"/>
      <c r="H171" s="19" t="n"/>
      <c r="I171" s="19" t="n"/>
      <c r="J171" s="19" t="n"/>
      <c r="K171" s="19" t="n"/>
      <c r="L171" s="19" t="n"/>
      <c r="M171" s="21">
        <f>IF(OR(B171="",F171="",G171=""),"",IF(OR(F171&lt;&gt;"Buka",G171&lt;&gt;"Coffee shop/kafe"),0,IF(OR(H171="",I171=""),"",IF(AND(H171="Ya",I171&lt;&gt;"Tidak ada"),1,0))))</f>
        <v/>
      </c>
    </row>
    <row r="172">
      <c r="A172" t="n">
        <v>171</v>
      </c>
      <c r="B172" s="19" t="n"/>
      <c r="C172" s="19" t="n"/>
      <c r="D172" s="19" t="n"/>
      <c r="E172" s="20" t="n"/>
      <c r="F172" s="19" t="n"/>
      <c r="G172" s="19" t="n"/>
      <c r="H172" s="19" t="n"/>
      <c r="I172" s="19" t="n"/>
      <c r="J172" s="19" t="n"/>
      <c r="K172" s="19" t="n"/>
      <c r="L172" s="19" t="n"/>
      <c r="M172" s="21">
        <f>IF(OR(B172="",F172="",G172=""),"",IF(OR(F172&lt;&gt;"Buka",G172&lt;&gt;"Coffee shop/kafe"),0,IF(OR(H172="",I172=""),"",IF(AND(H172="Ya",I172&lt;&gt;"Tidak ada"),1,0))))</f>
        <v/>
      </c>
    </row>
    <row r="173">
      <c r="A173" t="n">
        <v>172</v>
      </c>
      <c r="B173" s="19" t="n"/>
      <c r="C173" s="19" t="n"/>
      <c r="D173" s="19" t="n"/>
      <c r="E173" s="20" t="n"/>
      <c r="F173" s="19" t="n"/>
      <c r="G173" s="19" t="n"/>
      <c r="H173" s="19" t="n"/>
      <c r="I173" s="19" t="n"/>
      <c r="J173" s="19" t="n"/>
      <c r="K173" s="19" t="n"/>
      <c r="L173" s="19" t="n"/>
      <c r="M173" s="21">
        <f>IF(OR(B173="",F173="",G173=""),"",IF(OR(F173&lt;&gt;"Buka",G173&lt;&gt;"Coffee shop/kafe"),0,IF(OR(H173="",I173=""),"",IF(AND(H173="Ya",I173&lt;&gt;"Tidak ada"),1,0))))</f>
        <v/>
      </c>
    </row>
    <row r="174">
      <c r="A174" t="n">
        <v>173</v>
      </c>
      <c r="B174" s="19" t="n"/>
      <c r="C174" s="19" t="n"/>
      <c r="D174" s="19" t="n"/>
      <c r="E174" s="20" t="n"/>
      <c r="F174" s="19" t="n"/>
      <c r="G174" s="19" t="n"/>
      <c r="H174" s="19" t="n"/>
      <c r="I174" s="19" t="n"/>
      <c r="J174" s="19" t="n"/>
      <c r="K174" s="19" t="n"/>
      <c r="L174" s="19" t="n"/>
      <c r="M174" s="21">
        <f>IF(OR(B174="",F174="",G174=""),"",IF(OR(F174&lt;&gt;"Buka",G174&lt;&gt;"Coffee shop/kafe"),0,IF(OR(H174="",I174=""),"",IF(AND(H174="Ya",I174&lt;&gt;"Tidak ada"),1,0))))</f>
        <v/>
      </c>
    </row>
    <row r="175">
      <c r="A175" t="n">
        <v>174</v>
      </c>
      <c r="B175" s="19" t="n"/>
      <c r="C175" s="19" t="n"/>
      <c r="D175" s="19" t="n"/>
      <c r="E175" s="20" t="n"/>
      <c r="F175" s="19" t="n"/>
      <c r="G175" s="19" t="n"/>
      <c r="H175" s="19" t="n"/>
      <c r="I175" s="19" t="n"/>
      <c r="J175" s="19" t="n"/>
      <c r="K175" s="19" t="n"/>
      <c r="L175" s="19" t="n"/>
      <c r="M175" s="21">
        <f>IF(OR(B175="",F175="",G175=""),"",IF(OR(F175&lt;&gt;"Buka",G175&lt;&gt;"Coffee shop/kafe"),0,IF(OR(H175="",I175=""),"",IF(AND(H175="Ya",I175&lt;&gt;"Tidak ada"),1,0))))</f>
        <v/>
      </c>
    </row>
    <row r="176">
      <c r="A176" t="n">
        <v>175</v>
      </c>
      <c r="B176" s="19" t="n"/>
      <c r="C176" s="19" t="n"/>
      <c r="D176" s="19" t="n"/>
      <c r="E176" s="20" t="n"/>
      <c r="F176" s="19" t="n"/>
      <c r="G176" s="19" t="n"/>
      <c r="H176" s="19" t="n"/>
      <c r="I176" s="19" t="n"/>
      <c r="J176" s="19" t="n"/>
      <c r="K176" s="19" t="n"/>
      <c r="L176" s="19" t="n"/>
      <c r="M176" s="21">
        <f>IF(OR(B176="",F176="",G176=""),"",IF(OR(F176&lt;&gt;"Buka",G176&lt;&gt;"Coffee shop/kafe"),0,IF(OR(H176="",I176=""),"",IF(AND(H176="Ya",I176&lt;&gt;"Tidak ada"),1,0))))</f>
        <v/>
      </c>
    </row>
    <row r="177">
      <c r="A177" t="n">
        <v>176</v>
      </c>
      <c r="B177" s="19" t="n"/>
      <c r="C177" s="19" t="n"/>
      <c r="D177" s="19" t="n"/>
      <c r="E177" s="20" t="n"/>
      <c r="F177" s="19" t="n"/>
      <c r="G177" s="19" t="n"/>
      <c r="H177" s="19" t="n"/>
      <c r="I177" s="19" t="n"/>
      <c r="J177" s="19" t="n"/>
      <c r="K177" s="19" t="n"/>
      <c r="L177" s="19" t="n"/>
      <c r="M177" s="21">
        <f>IF(OR(B177="",F177="",G177=""),"",IF(OR(F177&lt;&gt;"Buka",G177&lt;&gt;"Coffee shop/kafe"),0,IF(OR(H177="",I177=""),"",IF(AND(H177="Ya",I177&lt;&gt;"Tidak ada"),1,0))))</f>
        <v/>
      </c>
    </row>
    <row r="178">
      <c r="A178" t="n">
        <v>177</v>
      </c>
      <c r="B178" s="19" t="n"/>
      <c r="C178" s="19" t="n"/>
      <c r="D178" s="19" t="n"/>
      <c r="E178" s="20" t="n"/>
      <c r="F178" s="19" t="n"/>
      <c r="G178" s="19" t="n"/>
      <c r="H178" s="19" t="n"/>
      <c r="I178" s="19" t="n"/>
      <c r="J178" s="19" t="n"/>
      <c r="K178" s="19" t="n"/>
      <c r="L178" s="19" t="n"/>
      <c r="M178" s="21">
        <f>IF(OR(B178="",F178="",G178=""),"",IF(OR(F178&lt;&gt;"Buka",G178&lt;&gt;"Coffee shop/kafe"),0,IF(OR(H178="",I178=""),"",IF(AND(H178="Ya",I178&lt;&gt;"Tidak ada"),1,0))))</f>
        <v/>
      </c>
    </row>
    <row r="179">
      <c r="A179" t="n">
        <v>178</v>
      </c>
      <c r="B179" s="19" t="n"/>
      <c r="C179" s="19" t="n"/>
      <c r="D179" s="19" t="n"/>
      <c r="E179" s="20" t="n"/>
      <c r="F179" s="19" t="n"/>
      <c r="G179" s="19" t="n"/>
      <c r="H179" s="19" t="n"/>
      <c r="I179" s="19" t="n"/>
      <c r="J179" s="19" t="n"/>
      <c r="K179" s="19" t="n"/>
      <c r="L179" s="19" t="n"/>
      <c r="M179" s="21">
        <f>IF(OR(B179="",F179="",G179=""),"",IF(OR(F179&lt;&gt;"Buka",G179&lt;&gt;"Coffee shop/kafe"),0,IF(OR(H179="",I179=""),"",IF(AND(H179="Ya",I179&lt;&gt;"Tidak ada"),1,0))))</f>
        <v/>
      </c>
    </row>
    <row r="180">
      <c r="A180" t="n">
        <v>179</v>
      </c>
      <c r="B180" s="19" t="n"/>
      <c r="C180" s="19" t="n"/>
      <c r="D180" s="19" t="n"/>
      <c r="E180" s="20" t="n"/>
      <c r="F180" s="19" t="n"/>
      <c r="G180" s="19" t="n"/>
      <c r="H180" s="19" t="n"/>
      <c r="I180" s="19" t="n"/>
      <c r="J180" s="19" t="n"/>
      <c r="K180" s="19" t="n"/>
      <c r="L180" s="19" t="n"/>
      <c r="M180" s="21">
        <f>IF(OR(B180="",F180="",G180=""),"",IF(OR(F180&lt;&gt;"Buka",G180&lt;&gt;"Coffee shop/kafe"),0,IF(OR(H180="",I180=""),"",IF(AND(H180="Ya",I180&lt;&gt;"Tidak ada"),1,0))))</f>
        <v/>
      </c>
    </row>
    <row r="181">
      <c r="A181" t="n">
        <v>180</v>
      </c>
      <c r="B181" s="19" t="n"/>
      <c r="C181" s="19" t="n"/>
      <c r="D181" s="19" t="n"/>
      <c r="E181" s="20" t="n"/>
      <c r="F181" s="19" t="n"/>
      <c r="G181" s="19" t="n"/>
      <c r="H181" s="19" t="n"/>
      <c r="I181" s="19" t="n"/>
      <c r="J181" s="19" t="n"/>
      <c r="K181" s="19" t="n"/>
      <c r="L181" s="19" t="n"/>
      <c r="M181" s="21">
        <f>IF(OR(B181="",F181="",G181=""),"",IF(OR(F181&lt;&gt;"Buka",G181&lt;&gt;"Coffee shop/kafe"),0,IF(OR(H181="",I181=""),"",IF(AND(H181="Ya",I181&lt;&gt;"Tidak ada"),1,0))))</f>
        <v/>
      </c>
    </row>
    <row r="182">
      <c r="A182" t="n">
        <v>181</v>
      </c>
      <c r="B182" s="19" t="n"/>
      <c r="C182" s="19" t="n"/>
      <c r="D182" s="19" t="n"/>
      <c r="E182" s="20" t="n"/>
      <c r="F182" s="19" t="n"/>
      <c r="G182" s="19" t="n"/>
      <c r="H182" s="19" t="n"/>
      <c r="I182" s="19" t="n"/>
      <c r="J182" s="19" t="n"/>
      <c r="K182" s="19" t="n"/>
      <c r="L182" s="19" t="n"/>
      <c r="M182" s="21">
        <f>IF(OR(B182="",F182="",G182=""),"",IF(OR(F182&lt;&gt;"Buka",G182&lt;&gt;"Coffee shop/kafe"),0,IF(OR(H182="",I182=""),"",IF(AND(H182="Ya",I182&lt;&gt;"Tidak ada"),1,0))))</f>
        <v/>
      </c>
    </row>
    <row r="183">
      <c r="A183" t="n">
        <v>182</v>
      </c>
      <c r="B183" s="19" t="n"/>
      <c r="C183" s="19" t="n"/>
      <c r="D183" s="19" t="n"/>
      <c r="E183" s="20" t="n"/>
      <c r="F183" s="19" t="n"/>
      <c r="G183" s="19" t="n"/>
      <c r="H183" s="19" t="n"/>
      <c r="I183" s="19" t="n"/>
      <c r="J183" s="19" t="n"/>
      <c r="K183" s="19" t="n"/>
      <c r="L183" s="19" t="n"/>
      <c r="M183" s="21">
        <f>IF(OR(B183="",F183="",G183=""),"",IF(OR(F183&lt;&gt;"Buka",G183&lt;&gt;"Coffee shop/kafe"),0,IF(OR(H183="",I183=""),"",IF(AND(H183="Ya",I183&lt;&gt;"Tidak ada"),1,0))))</f>
        <v/>
      </c>
    </row>
    <row r="184">
      <c r="A184" t="n">
        <v>183</v>
      </c>
      <c r="B184" s="19" t="n"/>
      <c r="C184" s="19" t="n"/>
      <c r="D184" s="19" t="n"/>
      <c r="E184" s="20" t="n"/>
      <c r="F184" s="19" t="n"/>
      <c r="G184" s="19" t="n"/>
      <c r="H184" s="19" t="n"/>
      <c r="I184" s="19" t="n"/>
      <c r="J184" s="19" t="n"/>
      <c r="K184" s="19" t="n"/>
      <c r="L184" s="19" t="n"/>
      <c r="M184" s="21">
        <f>IF(OR(B184="",F184="",G184=""),"",IF(OR(F184&lt;&gt;"Buka",G184&lt;&gt;"Coffee shop/kafe"),0,IF(OR(H184="",I184=""),"",IF(AND(H184="Ya",I184&lt;&gt;"Tidak ada"),1,0))))</f>
        <v/>
      </c>
    </row>
    <row r="185">
      <c r="A185" t="n">
        <v>184</v>
      </c>
      <c r="B185" s="19" t="n"/>
      <c r="C185" s="19" t="n"/>
      <c r="D185" s="19" t="n"/>
      <c r="E185" s="20" t="n"/>
      <c r="F185" s="19" t="n"/>
      <c r="G185" s="19" t="n"/>
      <c r="H185" s="19" t="n"/>
      <c r="I185" s="19" t="n"/>
      <c r="J185" s="19" t="n"/>
      <c r="K185" s="19" t="n"/>
      <c r="L185" s="19" t="n"/>
      <c r="M185" s="21">
        <f>IF(OR(B185="",F185="",G185=""),"",IF(OR(F185&lt;&gt;"Buka",G185&lt;&gt;"Coffee shop/kafe"),0,IF(OR(H185="",I185=""),"",IF(AND(H185="Ya",I185&lt;&gt;"Tidak ada"),1,0))))</f>
        <v/>
      </c>
    </row>
    <row r="186">
      <c r="A186" t="n">
        <v>185</v>
      </c>
      <c r="B186" s="19" t="n"/>
      <c r="C186" s="19" t="n"/>
      <c r="D186" s="19" t="n"/>
      <c r="E186" s="20" t="n"/>
      <c r="F186" s="19" t="n"/>
      <c r="G186" s="19" t="n"/>
      <c r="H186" s="19" t="n"/>
      <c r="I186" s="19" t="n"/>
      <c r="J186" s="19" t="n"/>
      <c r="K186" s="19" t="n"/>
      <c r="L186" s="19" t="n"/>
      <c r="M186" s="21">
        <f>IF(OR(B186="",F186="",G186=""),"",IF(OR(F186&lt;&gt;"Buka",G186&lt;&gt;"Coffee shop/kafe"),0,IF(OR(H186="",I186=""),"",IF(AND(H186="Ya",I186&lt;&gt;"Tidak ada"),1,0))))</f>
        <v/>
      </c>
    </row>
    <row r="187">
      <c r="A187" t="n">
        <v>186</v>
      </c>
      <c r="B187" s="19" t="n"/>
      <c r="C187" s="19" t="n"/>
      <c r="D187" s="19" t="n"/>
      <c r="E187" s="20" t="n"/>
      <c r="F187" s="19" t="n"/>
      <c r="G187" s="19" t="n"/>
      <c r="H187" s="19" t="n"/>
      <c r="I187" s="19" t="n"/>
      <c r="J187" s="19" t="n"/>
      <c r="K187" s="19" t="n"/>
      <c r="L187" s="19" t="n"/>
      <c r="M187" s="21">
        <f>IF(OR(B187="",F187="",G187=""),"",IF(OR(F187&lt;&gt;"Buka",G187&lt;&gt;"Coffee shop/kafe"),0,IF(OR(H187="",I187=""),"",IF(AND(H187="Ya",I187&lt;&gt;"Tidak ada"),1,0))))</f>
        <v/>
      </c>
    </row>
    <row r="188">
      <c r="A188" t="n">
        <v>187</v>
      </c>
      <c r="B188" s="19" t="n"/>
      <c r="C188" s="19" t="n"/>
      <c r="D188" s="19" t="n"/>
      <c r="E188" s="20" t="n"/>
      <c r="F188" s="19" t="n"/>
      <c r="G188" s="19" t="n"/>
      <c r="H188" s="19" t="n"/>
      <c r="I188" s="19" t="n"/>
      <c r="J188" s="19" t="n"/>
      <c r="K188" s="19" t="n"/>
      <c r="L188" s="19" t="n"/>
      <c r="M188" s="21">
        <f>IF(OR(B188="",F188="",G188=""),"",IF(OR(F188&lt;&gt;"Buka",G188&lt;&gt;"Coffee shop/kafe"),0,IF(OR(H188="",I188=""),"",IF(AND(H188="Ya",I188&lt;&gt;"Tidak ada"),1,0))))</f>
        <v/>
      </c>
    </row>
    <row r="189">
      <c r="A189" t="n">
        <v>188</v>
      </c>
      <c r="B189" s="19" t="n"/>
      <c r="C189" s="19" t="n"/>
      <c r="D189" s="19" t="n"/>
      <c r="E189" s="20" t="n"/>
      <c r="F189" s="19" t="n"/>
      <c r="G189" s="19" t="n"/>
      <c r="H189" s="19" t="n"/>
      <c r="I189" s="19" t="n"/>
      <c r="J189" s="19" t="n"/>
      <c r="K189" s="19" t="n"/>
      <c r="L189" s="19" t="n"/>
      <c r="M189" s="21">
        <f>IF(OR(B189="",F189="",G189=""),"",IF(OR(F189&lt;&gt;"Buka",G189&lt;&gt;"Coffee shop/kafe"),0,IF(OR(H189="",I189=""),"",IF(AND(H189="Ya",I189&lt;&gt;"Tidak ada"),1,0))))</f>
        <v/>
      </c>
    </row>
    <row r="190">
      <c r="A190" t="n">
        <v>189</v>
      </c>
      <c r="B190" s="19" t="n"/>
      <c r="C190" s="19" t="n"/>
      <c r="D190" s="19" t="n"/>
      <c r="E190" s="20" t="n"/>
      <c r="F190" s="19" t="n"/>
      <c r="G190" s="19" t="n"/>
      <c r="H190" s="19" t="n"/>
      <c r="I190" s="19" t="n"/>
      <c r="J190" s="19" t="n"/>
      <c r="K190" s="19" t="n"/>
      <c r="L190" s="19" t="n"/>
      <c r="M190" s="21">
        <f>IF(OR(B190="",F190="",G190=""),"",IF(OR(F190&lt;&gt;"Buka",G190&lt;&gt;"Coffee shop/kafe"),0,IF(OR(H190="",I190=""),"",IF(AND(H190="Ya",I190&lt;&gt;"Tidak ada"),1,0))))</f>
        <v/>
      </c>
    </row>
    <row r="191">
      <c r="A191" t="n">
        <v>190</v>
      </c>
      <c r="B191" s="19" t="n"/>
      <c r="C191" s="19" t="n"/>
      <c r="D191" s="19" t="n"/>
      <c r="E191" s="20" t="n"/>
      <c r="F191" s="19" t="n"/>
      <c r="G191" s="19" t="n"/>
      <c r="H191" s="19" t="n"/>
      <c r="I191" s="19" t="n"/>
      <c r="J191" s="19" t="n"/>
      <c r="K191" s="19" t="n"/>
      <c r="L191" s="19" t="n"/>
      <c r="M191" s="21">
        <f>IF(OR(B191="",F191="",G191=""),"",IF(OR(F191&lt;&gt;"Buka",G191&lt;&gt;"Coffee shop/kafe"),0,IF(OR(H191="",I191=""),"",IF(AND(H191="Ya",I191&lt;&gt;"Tidak ada"),1,0))))</f>
        <v/>
      </c>
    </row>
    <row r="192">
      <c r="A192" t="n">
        <v>191</v>
      </c>
      <c r="B192" s="19" t="n"/>
      <c r="C192" s="19" t="n"/>
      <c r="D192" s="19" t="n"/>
      <c r="E192" s="20" t="n"/>
      <c r="F192" s="19" t="n"/>
      <c r="G192" s="19" t="n"/>
      <c r="H192" s="19" t="n"/>
      <c r="I192" s="19" t="n"/>
      <c r="J192" s="19" t="n"/>
      <c r="K192" s="19" t="n"/>
      <c r="L192" s="19" t="n"/>
      <c r="M192" s="21">
        <f>IF(OR(B192="",F192="",G192=""),"",IF(OR(F192&lt;&gt;"Buka",G192&lt;&gt;"Coffee shop/kafe"),0,IF(OR(H192="",I192=""),"",IF(AND(H192="Ya",I192&lt;&gt;"Tidak ada"),1,0))))</f>
        <v/>
      </c>
    </row>
    <row r="193">
      <c r="A193" t="n">
        <v>192</v>
      </c>
      <c r="B193" s="19" t="n"/>
      <c r="C193" s="19" t="n"/>
      <c r="D193" s="19" t="n"/>
      <c r="E193" s="20" t="n"/>
      <c r="F193" s="19" t="n"/>
      <c r="G193" s="19" t="n"/>
      <c r="H193" s="19" t="n"/>
      <c r="I193" s="19" t="n"/>
      <c r="J193" s="19" t="n"/>
      <c r="K193" s="19" t="n"/>
      <c r="L193" s="19" t="n"/>
      <c r="M193" s="21">
        <f>IF(OR(B193="",F193="",G193=""),"",IF(OR(F193&lt;&gt;"Buka",G193&lt;&gt;"Coffee shop/kafe"),0,IF(OR(H193="",I193=""),"",IF(AND(H193="Ya",I193&lt;&gt;"Tidak ada"),1,0))))</f>
        <v/>
      </c>
    </row>
    <row r="194">
      <c r="A194" t="n">
        <v>193</v>
      </c>
      <c r="B194" s="19" t="n"/>
      <c r="C194" s="19" t="n"/>
      <c r="D194" s="19" t="n"/>
      <c r="E194" s="20" t="n"/>
      <c r="F194" s="19" t="n"/>
      <c r="G194" s="19" t="n"/>
      <c r="H194" s="19" t="n"/>
      <c r="I194" s="19" t="n"/>
      <c r="J194" s="19" t="n"/>
      <c r="K194" s="19" t="n"/>
      <c r="L194" s="19" t="n"/>
      <c r="M194" s="21">
        <f>IF(OR(B194="",F194="",G194=""),"",IF(OR(F194&lt;&gt;"Buka",G194&lt;&gt;"Coffee shop/kafe"),0,IF(OR(H194="",I194=""),"",IF(AND(H194="Ya",I194&lt;&gt;"Tidak ada"),1,0))))</f>
        <v/>
      </c>
    </row>
    <row r="195">
      <c r="A195" t="n">
        <v>194</v>
      </c>
      <c r="B195" s="19" t="n"/>
      <c r="C195" s="19" t="n"/>
      <c r="D195" s="19" t="n"/>
      <c r="E195" s="20" t="n"/>
      <c r="F195" s="19" t="n"/>
      <c r="G195" s="19" t="n"/>
      <c r="H195" s="19" t="n"/>
      <c r="I195" s="19" t="n"/>
      <c r="J195" s="19" t="n"/>
      <c r="K195" s="19" t="n"/>
      <c r="L195" s="19" t="n"/>
      <c r="M195" s="21">
        <f>IF(OR(B195="",F195="",G195=""),"",IF(OR(F195&lt;&gt;"Buka",G195&lt;&gt;"Coffee shop/kafe"),0,IF(OR(H195="",I195=""),"",IF(AND(H195="Ya",I195&lt;&gt;"Tidak ada"),1,0))))</f>
        <v/>
      </c>
    </row>
    <row r="196">
      <c r="A196" t="n">
        <v>195</v>
      </c>
      <c r="B196" s="19" t="n"/>
      <c r="C196" s="19" t="n"/>
      <c r="D196" s="19" t="n"/>
      <c r="E196" s="20" t="n"/>
      <c r="F196" s="19" t="n"/>
      <c r="G196" s="19" t="n"/>
      <c r="H196" s="19" t="n"/>
      <c r="I196" s="19" t="n"/>
      <c r="J196" s="19" t="n"/>
      <c r="K196" s="19" t="n"/>
      <c r="L196" s="19" t="n"/>
      <c r="M196" s="21">
        <f>IF(OR(B196="",F196="",G196=""),"",IF(OR(F196&lt;&gt;"Buka",G196&lt;&gt;"Coffee shop/kafe"),0,IF(OR(H196="",I196=""),"",IF(AND(H196="Ya",I196&lt;&gt;"Tidak ada"),1,0))))</f>
        <v/>
      </c>
    </row>
    <row r="197">
      <c r="A197" t="n">
        <v>196</v>
      </c>
      <c r="B197" s="19" t="n"/>
      <c r="C197" s="19" t="n"/>
      <c r="D197" s="19" t="n"/>
      <c r="E197" s="20" t="n"/>
      <c r="F197" s="19" t="n"/>
      <c r="G197" s="19" t="n"/>
      <c r="H197" s="19" t="n"/>
      <c r="I197" s="19" t="n"/>
      <c r="J197" s="19" t="n"/>
      <c r="K197" s="19" t="n"/>
      <c r="L197" s="19" t="n"/>
      <c r="M197" s="21">
        <f>IF(OR(B197="",F197="",G197=""),"",IF(OR(F197&lt;&gt;"Buka",G197&lt;&gt;"Coffee shop/kafe"),0,IF(OR(H197="",I197=""),"",IF(AND(H197="Ya",I197&lt;&gt;"Tidak ada"),1,0))))</f>
        <v/>
      </c>
    </row>
    <row r="198">
      <c r="A198" t="n">
        <v>197</v>
      </c>
      <c r="B198" s="19" t="n"/>
      <c r="C198" s="19" t="n"/>
      <c r="D198" s="19" t="n"/>
      <c r="E198" s="20" t="n"/>
      <c r="F198" s="19" t="n"/>
      <c r="G198" s="19" t="n"/>
      <c r="H198" s="19" t="n"/>
      <c r="I198" s="19" t="n"/>
      <c r="J198" s="19" t="n"/>
      <c r="K198" s="19" t="n"/>
      <c r="L198" s="19" t="n"/>
      <c r="M198" s="21">
        <f>IF(OR(B198="",F198="",G198=""),"",IF(OR(F198&lt;&gt;"Buka",G198&lt;&gt;"Coffee shop/kafe"),0,IF(OR(H198="",I198=""),"",IF(AND(H198="Ya",I198&lt;&gt;"Tidak ada"),1,0))))</f>
        <v/>
      </c>
    </row>
    <row r="199">
      <c r="A199" t="n">
        <v>198</v>
      </c>
      <c r="B199" s="19" t="n"/>
      <c r="C199" s="19" t="n"/>
      <c r="D199" s="19" t="n"/>
      <c r="E199" s="20" t="n"/>
      <c r="F199" s="19" t="n"/>
      <c r="G199" s="19" t="n"/>
      <c r="H199" s="19" t="n"/>
      <c r="I199" s="19" t="n"/>
      <c r="J199" s="19" t="n"/>
      <c r="K199" s="19" t="n"/>
      <c r="L199" s="19" t="n"/>
      <c r="M199" s="21">
        <f>IF(OR(B199="",F199="",G199=""),"",IF(OR(F199&lt;&gt;"Buka",G199&lt;&gt;"Coffee shop/kafe"),0,IF(OR(H199="",I199=""),"",IF(AND(H199="Ya",I199&lt;&gt;"Tidak ada"),1,0))))</f>
        <v/>
      </c>
    </row>
    <row r="200">
      <c r="A200" t="n">
        <v>199</v>
      </c>
      <c r="B200" s="19" t="n"/>
      <c r="C200" s="19" t="n"/>
      <c r="D200" s="19" t="n"/>
      <c r="E200" s="20" t="n"/>
      <c r="F200" s="19" t="n"/>
      <c r="G200" s="19" t="n"/>
      <c r="H200" s="19" t="n"/>
      <c r="I200" s="19" t="n"/>
      <c r="J200" s="19" t="n"/>
      <c r="K200" s="19" t="n"/>
      <c r="L200" s="19" t="n"/>
      <c r="M200" s="21">
        <f>IF(OR(B200="",F200="",G200=""),"",IF(OR(F200&lt;&gt;"Buka",G200&lt;&gt;"Coffee shop/kafe"),0,IF(OR(H200="",I200=""),"",IF(AND(H200="Ya",I200&lt;&gt;"Tidak ada"),1,0))))</f>
        <v/>
      </c>
    </row>
    <row r="201">
      <c r="A201" t="n">
        <v>200</v>
      </c>
      <c r="B201" s="19" t="n"/>
      <c r="C201" s="19" t="n"/>
      <c r="D201" s="19" t="n"/>
      <c r="E201" s="20" t="n"/>
      <c r="F201" s="19" t="n"/>
      <c r="G201" s="19" t="n"/>
      <c r="H201" s="19" t="n"/>
      <c r="I201" s="19" t="n"/>
      <c r="J201" s="19" t="n"/>
      <c r="K201" s="19" t="n"/>
      <c r="L201" s="19" t="n"/>
      <c r="M201" s="21">
        <f>IF(OR(B201="",F201="",G201=""),"",IF(OR(F201&lt;&gt;"Buka",G201&lt;&gt;"Coffee shop/kafe"),0,IF(OR(H201="",I201=""),"",IF(AND(H201="Ya",I201&lt;&gt;"Tidak ada"),1,0))))</f>
        <v/>
      </c>
    </row>
  </sheetData>
  <dataValidations count="6">
    <dataValidation sqref="B2:B201" showDropDown="0" showInputMessage="0" showErrorMessage="0" allowBlank="1" type="list">
      <formula1>=INPUT!$A$20:$A$25</formula1>
    </dataValidation>
    <dataValidation sqref="F2:F201" showDropDown="0" showInputMessage="0" showErrorMessage="0" allowBlank="1" type="list">
      <formula1>"Buka,Tutup permanen,Tutup sementara,Tidak jelas"</formula1>
    </dataValidation>
    <dataValidation sqref="G2:G201" showDropDown="0" showInputMessage="0" showErrorMessage="0" allowBlank="1" type="list">
      <formula1>"Coffee shop/kafe,Bukan coffee shop"</formula1>
    </dataValidation>
    <dataValidation sqref="H2:H201" showDropDown="0" showInputMessage="0" showErrorMessage="0" allowBlank="1" type="list">
      <formula1>"Ya,Tidak,Tidak jelas"</formula1>
    </dataValidation>
    <dataValidation sqref="I2:I201" showDropDown="0" showInputMessage="0" showErrorMessage="0" allowBlank="1" type="list">
      <formula1>"WA,IG,Telepon,Lebih dari satu,Tidak ada"</formula1>
    </dataValidation>
    <dataValidation sqref="J2:J201" showDropDown="0" showInputMessage="0" showErrorMessage="0" allowBlank="1" type="list">
      <formula1>"Ya,Tidak,Tidak ada IG"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8" customWidth="1" min="12" max="12"/>
    <col width="34" customWidth="1" min="13" max="13"/>
  </cols>
  <sheetData>
    <row r="1">
      <c r="A1" s="4" t="inlineStr">
        <is>
          <t>HASIL SAM (otomatis dari DAFTAR_TEMPAT)</t>
        </is>
      </c>
    </row>
    <row r="4" ht="32" customHeight="1">
      <c r="A4" s="5" t="inlineStr">
        <is>
          <t>Strata</t>
        </is>
      </c>
      <c r="B4" s="5" t="inlineStr">
        <is>
          <t>N geografi</t>
        </is>
      </c>
      <c r="C4" s="5" t="inlineStr">
        <is>
          <t>n sampel</t>
        </is>
      </c>
      <c r="D4" s="5" t="inlineStr">
        <is>
          <t>k layak</t>
        </is>
      </c>
      <c r="E4" s="5" t="inlineStr">
        <is>
          <t>p layak</t>
        </is>
      </c>
      <c r="F4" s="5" t="inlineStr">
        <is>
          <t>p bawah (95%)</t>
        </is>
      </c>
      <c r="G4" s="5" t="inlineStr">
        <is>
          <t>p atas (95%)</t>
        </is>
      </c>
      <c r="H4" s="5" t="inlineStr">
        <is>
          <t>SAM bawah</t>
        </is>
      </c>
      <c r="I4" s="5" t="inlineStr">
        <is>
          <t>SAM tengah</t>
        </is>
      </c>
      <c r="J4" s="5" t="inlineStr">
        <is>
          <t>SAM atas</t>
        </is>
      </c>
      <c r="K4" s="5" t="inlineStr">
        <is>
          <t>% tutup permanen</t>
        </is>
      </c>
      <c r="L4" s="5" t="inlineStr">
        <is>
          <t>% bukan coffee shop</t>
        </is>
      </c>
      <c r="M4" s="5" t="inlineStr">
        <is>
          <t>Peringatan</t>
        </is>
      </c>
    </row>
    <row r="5">
      <c r="A5" s="6">
        <f>INPUT!A20</f>
        <v/>
      </c>
      <c r="B5" s="22">
        <f>INPUT!B20</f>
        <v/>
      </c>
      <c r="C5" s="17">
        <f>COUNTIFS(DAFTAR_TEMPAT!$B$2:$B$201,A5,DAFTAR_TEMPAT!$M$2:$M$201,"&gt;=0")</f>
        <v/>
      </c>
      <c r="D5" s="17">
        <f>SUMIFS(DAFTAR_TEMPAT!$M$2:$M$201,DAFTAR_TEMPAT!$B$2:$B$201,A5)</f>
        <v/>
      </c>
      <c r="E5" s="23">
        <f>IF(C5=0,"",D5/C5)</f>
        <v/>
      </c>
      <c r="F5" s="23">
        <f>IF(C5=0,"",(E5+INPUT!$B$11^2/(2*C5)-INPUT!$B$11*SQRT(E5*(1-E5)/C5+INPUT!$B$11^2/(4*C5^2)))/(1+INPUT!$B$11^2/C5))</f>
        <v/>
      </c>
      <c r="G5" s="23">
        <f>IF(C5=0,"",(E5+INPUT!$B$11^2/(2*C5)+INPUT!$B$11*SQRT(E5*(1-E5)/C5+INPUT!$B$11^2/(4*C5^2)))/(1+INPUT!$B$11^2/C5))</f>
        <v/>
      </c>
      <c r="H5" s="24">
        <f>IF(C5=0,"",B5*F5)</f>
        <v/>
      </c>
      <c r="I5" s="24">
        <f>IF(C5=0,"",B5*E5)</f>
        <v/>
      </c>
      <c r="J5" s="24">
        <f>IF(C5=0,"",B5*G5)</f>
        <v/>
      </c>
      <c r="K5" s="23">
        <f>IF(C5=0,"",COUNTIFS(DAFTAR_TEMPAT!$B$2:$B$201,A5,DAFTAR_TEMPAT!$F$2:$F$201,"Tutup permanen")/C5)</f>
        <v/>
      </c>
      <c r="L5" s="23">
        <f>IF(C5=0,"",COUNTIFS(DAFTAR_TEMPAT!$B$2:$B$201,A5,DAFTAR_TEMPAT!$G$2:$G$201,"Bukan coffee shop")/C5)</f>
        <v/>
      </c>
      <c r="M5" s="25">
        <f>IF(C5&lt;30,"n&lt;30: rentang sangat lebar","")</f>
        <v/>
      </c>
    </row>
    <row r="6">
      <c r="A6" s="6">
        <f>INPUT!A21</f>
        <v/>
      </c>
      <c r="B6" s="22">
        <f>INPUT!B21</f>
        <v/>
      </c>
      <c r="C6" s="17">
        <f>COUNTIFS(DAFTAR_TEMPAT!$B$2:$B$201,A6,DAFTAR_TEMPAT!$M$2:$M$201,"&gt;=0")</f>
        <v/>
      </c>
      <c r="D6" s="17">
        <f>SUMIFS(DAFTAR_TEMPAT!$M$2:$M$201,DAFTAR_TEMPAT!$B$2:$B$201,A6)</f>
        <v/>
      </c>
      <c r="E6" s="23">
        <f>IF(C6=0,"",D6/C6)</f>
        <v/>
      </c>
      <c r="F6" s="23">
        <f>IF(C6=0,"",(E6+INPUT!$B$11^2/(2*C6)-INPUT!$B$11*SQRT(E6*(1-E6)/C6+INPUT!$B$11^2/(4*C6^2)))/(1+INPUT!$B$11^2/C6))</f>
        <v/>
      </c>
      <c r="G6" s="23">
        <f>IF(C6=0,"",(E6+INPUT!$B$11^2/(2*C6)+INPUT!$B$11*SQRT(E6*(1-E6)/C6+INPUT!$B$11^2/(4*C6^2)))/(1+INPUT!$B$11^2/C6))</f>
        <v/>
      </c>
      <c r="H6" s="24">
        <f>IF(C6=0,"",B6*F6)</f>
        <v/>
      </c>
      <c r="I6" s="24">
        <f>IF(C6=0,"",B6*E6)</f>
        <v/>
      </c>
      <c r="J6" s="24">
        <f>IF(C6=0,"",B6*G6)</f>
        <v/>
      </c>
      <c r="K6" s="23">
        <f>IF(C6=0,"",COUNTIFS(DAFTAR_TEMPAT!$B$2:$B$201,A6,DAFTAR_TEMPAT!$F$2:$F$201,"Tutup permanen")/C6)</f>
        <v/>
      </c>
      <c r="L6" s="23">
        <f>IF(C6=0,"",COUNTIFS(DAFTAR_TEMPAT!$B$2:$B$201,A6,DAFTAR_TEMPAT!$G$2:$G$201,"Bukan coffee shop")/C6)</f>
        <v/>
      </c>
      <c r="M6" s="25">
        <f>IF(C6&lt;30,"n&lt;30: rentang sangat lebar","")</f>
        <v/>
      </c>
    </row>
    <row r="7">
      <c r="A7" s="6">
        <f>INPUT!A22</f>
        <v/>
      </c>
      <c r="B7" s="22">
        <f>INPUT!B22</f>
        <v/>
      </c>
      <c r="C7" s="17">
        <f>COUNTIFS(DAFTAR_TEMPAT!$B$2:$B$201,A7,DAFTAR_TEMPAT!$M$2:$M$201,"&gt;=0")</f>
        <v/>
      </c>
      <c r="D7" s="17">
        <f>SUMIFS(DAFTAR_TEMPAT!$M$2:$M$201,DAFTAR_TEMPAT!$B$2:$B$201,A7)</f>
        <v/>
      </c>
      <c r="E7" s="23">
        <f>IF(C7=0,"",D7/C7)</f>
        <v/>
      </c>
      <c r="F7" s="23">
        <f>IF(C7=0,"",(E7+INPUT!$B$11^2/(2*C7)-INPUT!$B$11*SQRT(E7*(1-E7)/C7+INPUT!$B$11^2/(4*C7^2)))/(1+INPUT!$B$11^2/C7))</f>
        <v/>
      </c>
      <c r="G7" s="23">
        <f>IF(C7=0,"",(E7+INPUT!$B$11^2/(2*C7)+INPUT!$B$11*SQRT(E7*(1-E7)/C7+INPUT!$B$11^2/(4*C7^2)))/(1+INPUT!$B$11^2/C7))</f>
        <v/>
      </c>
      <c r="H7" s="24">
        <f>IF(C7=0,"",B7*F7)</f>
        <v/>
      </c>
      <c r="I7" s="24">
        <f>IF(C7=0,"",B7*E7)</f>
        <v/>
      </c>
      <c r="J7" s="24">
        <f>IF(C7=0,"",B7*G7)</f>
        <v/>
      </c>
      <c r="K7" s="23">
        <f>IF(C7=0,"",COUNTIFS(DAFTAR_TEMPAT!$B$2:$B$201,A7,DAFTAR_TEMPAT!$F$2:$F$201,"Tutup permanen")/C7)</f>
        <v/>
      </c>
      <c r="L7" s="23">
        <f>IF(C7=0,"",COUNTIFS(DAFTAR_TEMPAT!$B$2:$B$201,A7,DAFTAR_TEMPAT!$G$2:$G$201,"Bukan coffee shop")/C7)</f>
        <v/>
      </c>
      <c r="M7" s="25">
        <f>IF(C7&lt;30,"n&lt;30: rentang sangat lebar","")</f>
        <v/>
      </c>
    </row>
    <row r="8">
      <c r="A8" s="6">
        <f>INPUT!A23</f>
        <v/>
      </c>
      <c r="B8" s="22">
        <f>INPUT!B23</f>
        <v/>
      </c>
      <c r="C8" s="17">
        <f>COUNTIFS(DAFTAR_TEMPAT!$B$2:$B$201,A8,DAFTAR_TEMPAT!$M$2:$M$201,"&gt;=0")</f>
        <v/>
      </c>
      <c r="D8" s="17">
        <f>SUMIFS(DAFTAR_TEMPAT!$M$2:$M$201,DAFTAR_TEMPAT!$B$2:$B$201,A8)</f>
        <v/>
      </c>
      <c r="E8" s="23">
        <f>IF(C8=0,"",D8/C8)</f>
        <v/>
      </c>
      <c r="F8" s="23">
        <f>IF(C8=0,"",(E8+INPUT!$B$11^2/(2*C8)-INPUT!$B$11*SQRT(E8*(1-E8)/C8+INPUT!$B$11^2/(4*C8^2)))/(1+INPUT!$B$11^2/C8))</f>
        <v/>
      </c>
      <c r="G8" s="23">
        <f>IF(C8=0,"",(E8+INPUT!$B$11^2/(2*C8)+INPUT!$B$11*SQRT(E8*(1-E8)/C8+INPUT!$B$11^2/(4*C8^2)))/(1+INPUT!$B$11^2/C8))</f>
        <v/>
      </c>
      <c r="H8" s="24">
        <f>IF(C8=0,"",B8*F8)</f>
        <v/>
      </c>
      <c r="I8" s="24">
        <f>IF(C8=0,"",B8*E8)</f>
        <v/>
      </c>
      <c r="J8" s="24">
        <f>IF(C8=0,"",B8*G8)</f>
        <v/>
      </c>
      <c r="K8" s="23">
        <f>IF(C8=0,"",COUNTIFS(DAFTAR_TEMPAT!$B$2:$B$201,A8,DAFTAR_TEMPAT!$F$2:$F$201,"Tutup permanen")/C8)</f>
        <v/>
      </c>
      <c r="L8" s="23">
        <f>IF(C8=0,"",COUNTIFS(DAFTAR_TEMPAT!$B$2:$B$201,A8,DAFTAR_TEMPAT!$G$2:$G$201,"Bukan coffee shop")/C8)</f>
        <v/>
      </c>
      <c r="M8" s="25">
        <f>IF(C8&lt;30,"n&lt;30: rentang sangat lebar","")</f>
        <v/>
      </c>
    </row>
    <row r="9">
      <c r="A9" s="6">
        <f>INPUT!A24</f>
        <v/>
      </c>
      <c r="B9" s="22">
        <f>INPUT!B24</f>
        <v/>
      </c>
      <c r="C9" s="17">
        <f>COUNTIFS(DAFTAR_TEMPAT!$B$2:$B$201,A9,DAFTAR_TEMPAT!$M$2:$M$201,"&gt;=0")</f>
        <v/>
      </c>
      <c r="D9" s="17">
        <f>SUMIFS(DAFTAR_TEMPAT!$M$2:$M$201,DAFTAR_TEMPAT!$B$2:$B$201,A9)</f>
        <v/>
      </c>
      <c r="E9" s="23">
        <f>IF(C9=0,"",D9/C9)</f>
        <v/>
      </c>
      <c r="F9" s="23">
        <f>IF(C9=0,"",(E9+INPUT!$B$11^2/(2*C9)-INPUT!$B$11*SQRT(E9*(1-E9)/C9+INPUT!$B$11^2/(4*C9^2)))/(1+INPUT!$B$11^2/C9))</f>
        <v/>
      </c>
      <c r="G9" s="23">
        <f>IF(C9=0,"",(E9+INPUT!$B$11^2/(2*C9)+INPUT!$B$11*SQRT(E9*(1-E9)/C9+INPUT!$B$11^2/(4*C9^2)))/(1+INPUT!$B$11^2/C9))</f>
        <v/>
      </c>
      <c r="H9" s="24">
        <f>IF(C9=0,"",B9*F9)</f>
        <v/>
      </c>
      <c r="I9" s="24">
        <f>IF(C9=0,"",B9*E9)</f>
        <v/>
      </c>
      <c r="J9" s="24">
        <f>IF(C9=0,"",B9*G9)</f>
        <v/>
      </c>
      <c r="K9" s="23">
        <f>IF(C9=0,"",COUNTIFS(DAFTAR_TEMPAT!$B$2:$B$201,A9,DAFTAR_TEMPAT!$F$2:$F$201,"Tutup permanen")/C9)</f>
        <v/>
      </c>
      <c r="L9" s="23">
        <f>IF(C9=0,"",COUNTIFS(DAFTAR_TEMPAT!$B$2:$B$201,A9,DAFTAR_TEMPAT!$G$2:$G$201,"Bukan coffee shop")/C9)</f>
        <v/>
      </c>
      <c r="M9" s="25">
        <f>IF(C9&lt;30,"n&lt;30: rentang sangat lebar","")</f>
        <v/>
      </c>
    </row>
    <row r="10">
      <c r="A10" s="6">
        <f>INPUT!A25</f>
        <v/>
      </c>
      <c r="B10" s="22">
        <f>INPUT!B25</f>
        <v/>
      </c>
      <c r="C10" s="17">
        <f>COUNTIFS(DAFTAR_TEMPAT!$B$2:$B$201,A10,DAFTAR_TEMPAT!$M$2:$M$201,"&gt;=0")</f>
        <v/>
      </c>
      <c r="D10" s="17">
        <f>SUMIFS(DAFTAR_TEMPAT!$M$2:$M$201,DAFTAR_TEMPAT!$B$2:$B$201,A10)</f>
        <v/>
      </c>
      <c r="E10" s="23">
        <f>IF(C10=0,"",D10/C10)</f>
        <v/>
      </c>
      <c r="F10" s="23">
        <f>IF(C10=0,"",(E10+INPUT!$B$11^2/(2*C10)-INPUT!$B$11*SQRT(E10*(1-E10)/C10+INPUT!$B$11^2/(4*C10^2)))/(1+INPUT!$B$11^2/C10))</f>
        <v/>
      </c>
      <c r="G10" s="23">
        <f>IF(C10=0,"",(E10+INPUT!$B$11^2/(2*C10)+INPUT!$B$11*SQRT(E10*(1-E10)/C10+INPUT!$B$11^2/(4*C10^2)))/(1+INPUT!$B$11^2/C10))</f>
        <v/>
      </c>
      <c r="H10" s="24">
        <f>IF(C10=0,"",B10*F10)</f>
        <v/>
      </c>
      <c r="I10" s="24">
        <f>IF(C10=0,"",B10*E10)</f>
        <v/>
      </c>
      <c r="J10" s="24">
        <f>IF(C10=0,"",B10*G10)</f>
        <v/>
      </c>
      <c r="K10" s="23">
        <f>IF(C10=0,"",COUNTIFS(DAFTAR_TEMPAT!$B$2:$B$201,A10,DAFTAR_TEMPAT!$F$2:$F$201,"Tutup permanen")/C10)</f>
        <v/>
      </c>
      <c r="L10" s="23">
        <f>IF(C10=0,"",COUNTIFS(DAFTAR_TEMPAT!$B$2:$B$201,A10,DAFTAR_TEMPAT!$G$2:$G$201,"Bukan coffee shop")/C10)</f>
        <v/>
      </c>
      <c r="M10" s="25">
        <f>IF(C10&lt;30,"n&lt;30: rentang sangat lebar","")</f>
        <v/>
      </c>
    </row>
    <row r="11">
      <c r="A11" s="15" t="inlineStr">
        <is>
          <t>TOTAL</t>
        </is>
      </c>
      <c r="B11" s="26">
        <f>SUM(B5:B10)</f>
        <v/>
      </c>
      <c r="C11" s="27">
        <f>SUM(C5:C10)</f>
        <v/>
      </c>
      <c r="D11" s="27">
        <f>SUM(D5:D10)</f>
        <v/>
      </c>
      <c r="H11" s="26">
        <f>SUM(H5:H10)</f>
        <v/>
      </c>
      <c r="I11" s="26">
        <f>SUM(I5:I10)</f>
        <v/>
      </c>
      <c r="J11" s="26">
        <f>SUM(J5:J10)</f>
        <v/>
      </c>
      <c r="M11" s="28">
        <f>IF(COUNTIF(C5:C10,"&lt;30")&gt;0,"Ada strata dengan n&lt;30: total belum bisa dipakai di deck","")</f>
        <v/>
      </c>
    </row>
    <row r="13">
      <c r="A13" s="18" t="inlineStr">
        <is>
          <t>NILAI SAM (Rp per tahun) = SAM x ARPM x 12</t>
        </is>
      </c>
      <c r="H13" s="29">
        <f>H11*INPUT!$B$4*12</f>
        <v/>
      </c>
      <c r="I13" s="29">
        <f>I11*INPUT!$B$4*12</f>
        <v/>
      </c>
      <c r="J13" s="29">
        <f>J11*INPUT!$B$4*12</f>
        <v/>
      </c>
    </row>
    <row r="15">
      <c r="A15" t="inlineStr">
        <is>
          <t>SAM tengah sebagai % dari N geografi total</t>
        </is>
      </c>
      <c r="I15" s="30">
        <f>IF(B11=0,"",I11/B11)</f>
        <v/>
      </c>
    </row>
    <row r="17">
      <c r="A17" s="2" t="inlineStr">
        <is>
          <t>Catatan: rentang total adalah penjumlahan batas bawah/atas per strata (konservatif). N geografi masih PROVISIONAL (PoiData). Sampel dari Maps bias ke tempat populer.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14" customWidth="1" min="12" max="12"/>
    <col width="30" customWidth="1" min="13" max="13"/>
    <col width="40" customWidth="1" min="14" max="14"/>
    <col width="20" customWidth="1" min="15" max="15"/>
  </cols>
  <sheetData>
    <row r="1" ht="48" customHeight="1">
      <c r="A1" s="5" t="inlineStr">
        <is>
          <t>ID tempat (dari DAFTAR_TEMPAT) / nama jika kontak hangat</t>
        </is>
      </c>
      <c r="B1" s="5" t="inlineStr">
        <is>
          <t>Tanggal</t>
        </is>
      </c>
      <c r="C1" s="5" t="inlineStr">
        <is>
          <t>Sumber</t>
        </is>
      </c>
      <c r="D1" s="5" t="inlineStr">
        <is>
          <t>Kanal</t>
        </is>
      </c>
      <c r="E1" s="5" t="inlineStr">
        <is>
          <t>Tersambung</t>
        </is>
      </c>
      <c r="F1" s="5" t="inlineStr">
        <is>
          <t>Lawan bicara</t>
        </is>
      </c>
      <c r="G1" s="5" t="inlineStr">
        <is>
          <t>Ada NIB</t>
        </is>
      </c>
      <c r="H1" s="5" t="inlineStr">
        <is>
          <t>Minat konsep availability+reservasi (1-5)</t>
        </is>
      </c>
      <c r="I1" s="5" t="inlineStr">
        <is>
          <t>Minat bundel 1-dapat-3</t>
        </is>
      </c>
      <c r="J1" s="5" t="inlineStr">
        <is>
          <t>Tier diminati</t>
        </is>
      </c>
      <c r="K1" s="5" t="inlineStr">
        <is>
          <t>Harga wajar versi merchant (Rp/bulan)</t>
        </is>
      </c>
      <c r="L1" s="5" t="inlineStr">
        <is>
          <t>Bersedia LOI</t>
        </is>
      </c>
      <c r="M1" s="5" t="inlineStr">
        <is>
          <t>Alasan jika tidak</t>
        </is>
      </c>
      <c r="N1" s="5" t="inlineStr">
        <is>
          <t>Catatan</t>
        </is>
      </c>
      <c r="O1" s="5" t="inlineStr">
        <is>
          <t>Harga (otomatis, hanya Acak sampel)</t>
        </is>
      </c>
    </row>
    <row r="2">
      <c r="A2" s="19" t="n"/>
      <c r="B2" s="20" t="n"/>
      <c r="C2" s="19" t="n"/>
      <c r="D2" s="19" t="n"/>
      <c r="E2" s="19" t="n"/>
      <c r="F2" s="19" t="n"/>
      <c r="G2" s="19" t="n"/>
      <c r="H2" s="19" t="n"/>
      <c r="I2" s="19" t="n"/>
      <c r="J2" s="19" t="n"/>
      <c r="K2" s="31" t="n"/>
      <c r="L2" s="19" t="n"/>
      <c r="M2" s="19" t="n"/>
      <c r="N2" s="19" t="n"/>
      <c r="O2" s="16">
        <f>IF(AND(C2="Acak sampel",ISNUMBER(K2)),K2,"")</f>
        <v/>
      </c>
    </row>
    <row r="3">
      <c r="A3" s="19" t="n"/>
      <c r="B3" s="20" t="n"/>
      <c r="C3" s="19" t="n"/>
      <c r="D3" s="19" t="n"/>
      <c r="E3" s="19" t="n"/>
      <c r="F3" s="19" t="n"/>
      <c r="G3" s="19" t="n"/>
      <c r="H3" s="19" t="n"/>
      <c r="I3" s="19" t="n"/>
      <c r="J3" s="19" t="n"/>
      <c r="K3" s="31" t="n"/>
      <c r="L3" s="19" t="n"/>
      <c r="M3" s="19" t="n"/>
      <c r="N3" s="19" t="n"/>
      <c r="O3" s="16">
        <f>IF(AND(C3="Acak sampel",ISNUMBER(K3)),K3,"")</f>
        <v/>
      </c>
    </row>
    <row r="4">
      <c r="A4" s="19" t="n"/>
      <c r="B4" s="20" t="n"/>
      <c r="C4" s="19" t="n"/>
      <c r="D4" s="19" t="n"/>
      <c r="E4" s="19" t="n"/>
      <c r="F4" s="19" t="n"/>
      <c r="G4" s="19" t="n"/>
      <c r="H4" s="19" t="n"/>
      <c r="I4" s="19" t="n"/>
      <c r="J4" s="19" t="n"/>
      <c r="K4" s="31" t="n"/>
      <c r="L4" s="19" t="n"/>
      <c r="M4" s="19" t="n"/>
      <c r="N4" s="19" t="n"/>
      <c r="O4" s="16">
        <f>IF(AND(C4="Acak sampel",ISNUMBER(K4)),K4,"")</f>
        <v/>
      </c>
    </row>
    <row r="5">
      <c r="A5" s="19" t="n"/>
      <c r="B5" s="20" t="n"/>
      <c r="C5" s="19" t="n"/>
      <c r="D5" s="19" t="n"/>
      <c r="E5" s="19" t="n"/>
      <c r="F5" s="19" t="n"/>
      <c r="G5" s="19" t="n"/>
      <c r="H5" s="19" t="n"/>
      <c r="I5" s="19" t="n"/>
      <c r="J5" s="19" t="n"/>
      <c r="K5" s="31" t="n"/>
      <c r="L5" s="19" t="n"/>
      <c r="M5" s="19" t="n"/>
      <c r="N5" s="19" t="n"/>
      <c r="O5" s="16">
        <f>IF(AND(C5="Acak sampel",ISNUMBER(K5)),K5,"")</f>
        <v/>
      </c>
    </row>
    <row r="6">
      <c r="A6" s="19" t="n"/>
      <c r="B6" s="20" t="n"/>
      <c r="C6" s="19" t="n"/>
      <c r="D6" s="19" t="n"/>
      <c r="E6" s="19" t="n"/>
      <c r="F6" s="19" t="n"/>
      <c r="G6" s="19" t="n"/>
      <c r="H6" s="19" t="n"/>
      <c r="I6" s="19" t="n"/>
      <c r="J6" s="19" t="n"/>
      <c r="K6" s="31" t="n"/>
      <c r="L6" s="19" t="n"/>
      <c r="M6" s="19" t="n"/>
      <c r="N6" s="19" t="n"/>
      <c r="O6" s="16">
        <f>IF(AND(C6="Acak sampel",ISNUMBER(K6)),K6,"")</f>
        <v/>
      </c>
    </row>
    <row r="7">
      <c r="A7" s="19" t="n"/>
      <c r="B7" s="20" t="n"/>
      <c r="C7" s="19" t="n"/>
      <c r="D7" s="19" t="n"/>
      <c r="E7" s="19" t="n"/>
      <c r="F7" s="19" t="n"/>
      <c r="G7" s="19" t="n"/>
      <c r="H7" s="19" t="n"/>
      <c r="I7" s="19" t="n"/>
      <c r="J7" s="19" t="n"/>
      <c r="K7" s="31" t="n"/>
      <c r="L7" s="19" t="n"/>
      <c r="M7" s="19" t="n"/>
      <c r="N7" s="19" t="n"/>
      <c r="O7" s="16">
        <f>IF(AND(C7="Acak sampel",ISNUMBER(K7)),K7,"")</f>
        <v/>
      </c>
    </row>
    <row r="8">
      <c r="A8" s="19" t="n"/>
      <c r="B8" s="20" t="n"/>
      <c r="C8" s="19" t="n"/>
      <c r="D8" s="19" t="n"/>
      <c r="E8" s="19" t="n"/>
      <c r="F8" s="19" t="n"/>
      <c r="G8" s="19" t="n"/>
      <c r="H8" s="19" t="n"/>
      <c r="I8" s="19" t="n"/>
      <c r="J8" s="19" t="n"/>
      <c r="K8" s="31" t="n"/>
      <c r="L8" s="19" t="n"/>
      <c r="M8" s="19" t="n"/>
      <c r="N8" s="19" t="n"/>
      <c r="O8" s="16">
        <f>IF(AND(C8="Acak sampel",ISNUMBER(K8)),K8,"")</f>
        <v/>
      </c>
    </row>
    <row r="9">
      <c r="A9" s="19" t="n"/>
      <c r="B9" s="20" t="n"/>
      <c r="C9" s="19" t="n"/>
      <c r="D9" s="19" t="n"/>
      <c r="E9" s="19" t="n"/>
      <c r="F9" s="19" t="n"/>
      <c r="G9" s="19" t="n"/>
      <c r="H9" s="19" t="n"/>
      <c r="I9" s="19" t="n"/>
      <c r="J9" s="19" t="n"/>
      <c r="K9" s="31" t="n"/>
      <c r="L9" s="19" t="n"/>
      <c r="M9" s="19" t="n"/>
      <c r="N9" s="19" t="n"/>
      <c r="O9" s="16">
        <f>IF(AND(C9="Acak sampel",ISNUMBER(K9)),K9,"")</f>
        <v/>
      </c>
    </row>
    <row r="10">
      <c r="A10" s="19" t="n"/>
      <c r="B10" s="20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31" t="n"/>
      <c r="L10" s="19" t="n"/>
      <c r="M10" s="19" t="n"/>
      <c r="N10" s="19" t="n"/>
      <c r="O10" s="16">
        <f>IF(AND(C10="Acak sampel",ISNUMBER(K10)),K10,"")</f>
        <v/>
      </c>
    </row>
    <row r="11">
      <c r="A11" s="19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31" t="n"/>
      <c r="L11" s="19" t="n"/>
      <c r="M11" s="19" t="n"/>
      <c r="N11" s="19" t="n"/>
      <c r="O11" s="16">
        <f>IF(AND(C11="Acak sampel",ISNUMBER(K11)),K11,"")</f>
        <v/>
      </c>
    </row>
    <row r="12">
      <c r="A12" s="19" t="n"/>
      <c r="B12" s="20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31" t="n"/>
      <c r="L12" s="19" t="n"/>
      <c r="M12" s="19" t="n"/>
      <c r="N12" s="19" t="n"/>
      <c r="O12" s="16">
        <f>IF(AND(C12="Acak sampel",ISNUMBER(K12)),K12,"")</f>
        <v/>
      </c>
    </row>
    <row r="13">
      <c r="A13" s="19" t="n"/>
      <c r="B13" s="20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31" t="n"/>
      <c r="L13" s="19" t="n"/>
      <c r="M13" s="19" t="n"/>
      <c r="N13" s="19" t="n"/>
      <c r="O13" s="16">
        <f>IF(AND(C13="Acak sampel",ISNUMBER(K13)),K13,"")</f>
        <v/>
      </c>
    </row>
    <row r="14">
      <c r="A14" s="19" t="n"/>
      <c r="B14" s="20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31" t="n"/>
      <c r="L14" s="19" t="n"/>
      <c r="M14" s="19" t="n"/>
      <c r="N14" s="19" t="n"/>
      <c r="O14" s="16">
        <f>IF(AND(C14="Acak sampel",ISNUMBER(K14)),K14,"")</f>
        <v/>
      </c>
    </row>
    <row r="15">
      <c r="A15" s="19" t="n"/>
      <c r="B15" s="20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31" t="n"/>
      <c r="L15" s="19" t="n"/>
      <c r="M15" s="19" t="n"/>
      <c r="N15" s="19" t="n"/>
      <c r="O15" s="16">
        <f>IF(AND(C15="Acak sampel",ISNUMBER(K15)),K15,"")</f>
        <v/>
      </c>
    </row>
    <row r="16">
      <c r="A16" s="19" t="n"/>
      <c r="B16" s="20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31" t="n"/>
      <c r="L16" s="19" t="n"/>
      <c r="M16" s="19" t="n"/>
      <c r="N16" s="19" t="n"/>
      <c r="O16" s="16">
        <f>IF(AND(C16="Acak sampel",ISNUMBER(K16)),K16,"")</f>
        <v/>
      </c>
    </row>
    <row r="17">
      <c r="A17" s="19" t="n"/>
      <c r="B17" s="20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31" t="n"/>
      <c r="L17" s="19" t="n"/>
      <c r="M17" s="19" t="n"/>
      <c r="N17" s="19" t="n"/>
      <c r="O17" s="16">
        <f>IF(AND(C17="Acak sampel",ISNUMBER(K17)),K17,"")</f>
        <v/>
      </c>
    </row>
    <row r="18">
      <c r="A18" s="19" t="n"/>
      <c r="B18" s="20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31" t="n"/>
      <c r="L18" s="19" t="n"/>
      <c r="M18" s="19" t="n"/>
      <c r="N18" s="19" t="n"/>
      <c r="O18" s="16">
        <f>IF(AND(C18="Acak sampel",ISNUMBER(K18)),K18,"")</f>
        <v/>
      </c>
    </row>
    <row r="19">
      <c r="A19" s="19" t="n"/>
      <c r="B19" s="20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31" t="n"/>
      <c r="L19" s="19" t="n"/>
      <c r="M19" s="19" t="n"/>
      <c r="N19" s="19" t="n"/>
      <c r="O19" s="16">
        <f>IF(AND(C19="Acak sampel",ISNUMBER(K19)),K19,"")</f>
        <v/>
      </c>
    </row>
    <row r="20">
      <c r="A20" s="19" t="n"/>
      <c r="B20" s="20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31" t="n"/>
      <c r="L20" s="19" t="n"/>
      <c r="M20" s="19" t="n"/>
      <c r="N20" s="19" t="n"/>
      <c r="O20" s="16">
        <f>IF(AND(C20="Acak sampel",ISNUMBER(K20)),K20,"")</f>
        <v/>
      </c>
    </row>
    <row r="21">
      <c r="A21" s="19" t="n"/>
      <c r="B21" s="20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31" t="n"/>
      <c r="L21" s="19" t="n"/>
      <c r="M21" s="19" t="n"/>
      <c r="N21" s="19" t="n"/>
      <c r="O21" s="16">
        <f>IF(AND(C21="Acak sampel",ISNUMBER(K21)),K21,"")</f>
        <v/>
      </c>
    </row>
    <row r="22">
      <c r="A22" s="19" t="n"/>
      <c r="B22" s="20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31" t="n"/>
      <c r="L22" s="19" t="n"/>
      <c r="M22" s="19" t="n"/>
      <c r="N22" s="19" t="n"/>
      <c r="O22" s="16">
        <f>IF(AND(C22="Acak sampel",ISNUMBER(K22)),K22,"")</f>
        <v/>
      </c>
    </row>
    <row r="23">
      <c r="A23" s="19" t="n"/>
      <c r="B23" s="20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31" t="n"/>
      <c r="L23" s="19" t="n"/>
      <c r="M23" s="19" t="n"/>
      <c r="N23" s="19" t="n"/>
      <c r="O23" s="16">
        <f>IF(AND(C23="Acak sampel",ISNUMBER(K23)),K23,"")</f>
        <v/>
      </c>
    </row>
    <row r="24">
      <c r="A24" s="19" t="n"/>
      <c r="B24" s="20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31" t="n"/>
      <c r="L24" s="19" t="n"/>
      <c r="M24" s="19" t="n"/>
      <c r="N24" s="19" t="n"/>
      <c r="O24" s="16">
        <f>IF(AND(C24="Acak sampel",ISNUMBER(K24)),K24,"")</f>
        <v/>
      </c>
    </row>
    <row r="25">
      <c r="A25" s="19" t="n"/>
      <c r="B25" s="20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31" t="n"/>
      <c r="L25" s="19" t="n"/>
      <c r="M25" s="19" t="n"/>
      <c r="N25" s="19" t="n"/>
      <c r="O25" s="16">
        <f>IF(AND(C25="Acak sampel",ISNUMBER(K25)),K25,"")</f>
        <v/>
      </c>
    </row>
    <row r="26">
      <c r="A26" s="19" t="n"/>
      <c r="B26" s="20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31" t="n"/>
      <c r="L26" s="19" t="n"/>
      <c r="M26" s="19" t="n"/>
      <c r="N26" s="19" t="n"/>
      <c r="O26" s="16">
        <f>IF(AND(C26="Acak sampel",ISNUMBER(K26)),K26,"")</f>
        <v/>
      </c>
    </row>
    <row r="27">
      <c r="A27" s="19" t="n"/>
      <c r="B27" s="20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31" t="n"/>
      <c r="L27" s="19" t="n"/>
      <c r="M27" s="19" t="n"/>
      <c r="N27" s="19" t="n"/>
      <c r="O27" s="16">
        <f>IF(AND(C27="Acak sampel",ISNUMBER(K27)),K27,"")</f>
        <v/>
      </c>
    </row>
    <row r="28">
      <c r="A28" s="19" t="n"/>
      <c r="B28" s="20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31" t="n"/>
      <c r="L28" s="19" t="n"/>
      <c r="M28" s="19" t="n"/>
      <c r="N28" s="19" t="n"/>
      <c r="O28" s="16">
        <f>IF(AND(C28="Acak sampel",ISNUMBER(K28)),K28,"")</f>
        <v/>
      </c>
    </row>
    <row r="29">
      <c r="A29" s="19" t="n"/>
      <c r="B29" s="20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31" t="n"/>
      <c r="L29" s="19" t="n"/>
      <c r="M29" s="19" t="n"/>
      <c r="N29" s="19" t="n"/>
      <c r="O29" s="16">
        <f>IF(AND(C29="Acak sampel",ISNUMBER(K29)),K29,"")</f>
        <v/>
      </c>
    </row>
    <row r="30">
      <c r="A30" s="19" t="n"/>
      <c r="B30" s="20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31" t="n"/>
      <c r="L30" s="19" t="n"/>
      <c r="M30" s="19" t="n"/>
      <c r="N30" s="19" t="n"/>
      <c r="O30" s="16">
        <f>IF(AND(C30="Acak sampel",ISNUMBER(K30)),K30,"")</f>
        <v/>
      </c>
    </row>
    <row r="31">
      <c r="A31" s="19" t="n"/>
      <c r="B31" s="20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31" t="n"/>
      <c r="L31" s="19" t="n"/>
      <c r="M31" s="19" t="n"/>
      <c r="N31" s="19" t="n"/>
      <c r="O31" s="16">
        <f>IF(AND(C31="Acak sampel",ISNUMBER(K31)),K31,"")</f>
        <v/>
      </c>
    </row>
    <row r="32">
      <c r="A32" s="19" t="n"/>
      <c r="B32" s="20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31" t="n"/>
      <c r="L32" s="19" t="n"/>
      <c r="M32" s="19" t="n"/>
      <c r="N32" s="19" t="n"/>
      <c r="O32" s="16">
        <f>IF(AND(C32="Acak sampel",ISNUMBER(K32)),K32,"")</f>
        <v/>
      </c>
    </row>
    <row r="33">
      <c r="A33" s="19" t="n"/>
      <c r="B33" s="20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31" t="n"/>
      <c r="L33" s="19" t="n"/>
      <c r="M33" s="19" t="n"/>
      <c r="N33" s="19" t="n"/>
      <c r="O33" s="16">
        <f>IF(AND(C33="Acak sampel",ISNUMBER(K33)),K33,"")</f>
        <v/>
      </c>
    </row>
    <row r="34">
      <c r="A34" s="19" t="n"/>
      <c r="B34" s="20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31" t="n"/>
      <c r="L34" s="19" t="n"/>
      <c r="M34" s="19" t="n"/>
      <c r="N34" s="19" t="n"/>
      <c r="O34" s="16">
        <f>IF(AND(C34="Acak sampel",ISNUMBER(K34)),K34,"")</f>
        <v/>
      </c>
    </row>
    <row r="35">
      <c r="A35" s="19" t="n"/>
      <c r="B35" s="20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31" t="n"/>
      <c r="L35" s="19" t="n"/>
      <c r="M35" s="19" t="n"/>
      <c r="N35" s="19" t="n"/>
      <c r="O35" s="16">
        <f>IF(AND(C35="Acak sampel",ISNUMBER(K35)),K35,"")</f>
        <v/>
      </c>
    </row>
    <row r="36">
      <c r="A36" s="19" t="n"/>
      <c r="B36" s="20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31" t="n"/>
      <c r="L36" s="19" t="n"/>
      <c r="M36" s="19" t="n"/>
      <c r="N36" s="19" t="n"/>
      <c r="O36" s="16">
        <f>IF(AND(C36="Acak sampel",ISNUMBER(K36)),K36,"")</f>
        <v/>
      </c>
    </row>
    <row r="37">
      <c r="A37" s="19" t="n"/>
      <c r="B37" s="20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31" t="n"/>
      <c r="L37" s="19" t="n"/>
      <c r="M37" s="19" t="n"/>
      <c r="N37" s="19" t="n"/>
      <c r="O37" s="16">
        <f>IF(AND(C37="Acak sampel",ISNUMBER(K37)),K37,"")</f>
        <v/>
      </c>
    </row>
    <row r="38">
      <c r="A38" s="19" t="n"/>
      <c r="B38" s="20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31" t="n"/>
      <c r="L38" s="19" t="n"/>
      <c r="M38" s="19" t="n"/>
      <c r="N38" s="19" t="n"/>
      <c r="O38" s="16">
        <f>IF(AND(C38="Acak sampel",ISNUMBER(K38)),K38,"")</f>
        <v/>
      </c>
    </row>
    <row r="39">
      <c r="A39" s="19" t="n"/>
      <c r="B39" s="20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31" t="n"/>
      <c r="L39" s="19" t="n"/>
      <c r="M39" s="19" t="n"/>
      <c r="N39" s="19" t="n"/>
      <c r="O39" s="16">
        <f>IF(AND(C39="Acak sampel",ISNUMBER(K39)),K39,"")</f>
        <v/>
      </c>
    </row>
    <row r="40">
      <c r="A40" s="19" t="n"/>
      <c r="B40" s="20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31" t="n"/>
      <c r="L40" s="19" t="n"/>
      <c r="M40" s="19" t="n"/>
      <c r="N40" s="19" t="n"/>
      <c r="O40" s="16">
        <f>IF(AND(C40="Acak sampel",ISNUMBER(K40)),K40,"")</f>
        <v/>
      </c>
    </row>
    <row r="41">
      <c r="A41" s="19" t="n"/>
      <c r="B41" s="20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31" t="n"/>
      <c r="L41" s="19" t="n"/>
      <c r="M41" s="19" t="n"/>
      <c r="N41" s="19" t="n"/>
      <c r="O41" s="16">
        <f>IF(AND(C41="Acak sampel",ISNUMBER(K41)),K41,"")</f>
        <v/>
      </c>
    </row>
    <row r="42">
      <c r="A42" s="19" t="n"/>
      <c r="B42" s="20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31" t="n"/>
      <c r="L42" s="19" t="n"/>
      <c r="M42" s="19" t="n"/>
      <c r="N42" s="19" t="n"/>
      <c r="O42" s="16">
        <f>IF(AND(C42="Acak sampel",ISNUMBER(K42)),K42,"")</f>
        <v/>
      </c>
    </row>
    <row r="43">
      <c r="A43" s="19" t="n"/>
      <c r="B43" s="20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31" t="n"/>
      <c r="L43" s="19" t="n"/>
      <c r="M43" s="19" t="n"/>
      <c r="N43" s="19" t="n"/>
      <c r="O43" s="16">
        <f>IF(AND(C43="Acak sampel",ISNUMBER(K43)),K43,"")</f>
        <v/>
      </c>
    </row>
    <row r="44">
      <c r="A44" s="19" t="n"/>
      <c r="B44" s="20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31" t="n"/>
      <c r="L44" s="19" t="n"/>
      <c r="M44" s="19" t="n"/>
      <c r="N44" s="19" t="n"/>
      <c r="O44" s="16">
        <f>IF(AND(C44="Acak sampel",ISNUMBER(K44)),K44,"")</f>
        <v/>
      </c>
    </row>
    <row r="45">
      <c r="A45" s="19" t="n"/>
      <c r="B45" s="20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31" t="n"/>
      <c r="L45" s="19" t="n"/>
      <c r="M45" s="19" t="n"/>
      <c r="N45" s="19" t="n"/>
      <c r="O45" s="16">
        <f>IF(AND(C45="Acak sampel",ISNUMBER(K45)),K45,"")</f>
        <v/>
      </c>
    </row>
    <row r="46">
      <c r="A46" s="19" t="n"/>
      <c r="B46" s="20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31" t="n"/>
      <c r="L46" s="19" t="n"/>
      <c r="M46" s="19" t="n"/>
      <c r="N46" s="19" t="n"/>
      <c r="O46" s="16">
        <f>IF(AND(C46="Acak sampel",ISNUMBER(K46)),K46,"")</f>
        <v/>
      </c>
    </row>
    <row r="47">
      <c r="A47" s="19" t="n"/>
      <c r="B47" s="20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31" t="n"/>
      <c r="L47" s="19" t="n"/>
      <c r="M47" s="19" t="n"/>
      <c r="N47" s="19" t="n"/>
      <c r="O47" s="16">
        <f>IF(AND(C47="Acak sampel",ISNUMBER(K47)),K47,"")</f>
        <v/>
      </c>
    </row>
    <row r="48">
      <c r="A48" s="19" t="n"/>
      <c r="B48" s="20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31" t="n"/>
      <c r="L48" s="19" t="n"/>
      <c r="M48" s="19" t="n"/>
      <c r="N48" s="19" t="n"/>
      <c r="O48" s="16">
        <f>IF(AND(C48="Acak sampel",ISNUMBER(K48)),K48,"")</f>
        <v/>
      </c>
    </row>
    <row r="49">
      <c r="A49" s="19" t="n"/>
      <c r="B49" s="20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31" t="n"/>
      <c r="L49" s="19" t="n"/>
      <c r="M49" s="19" t="n"/>
      <c r="N49" s="19" t="n"/>
      <c r="O49" s="16">
        <f>IF(AND(C49="Acak sampel",ISNUMBER(K49)),K49,"")</f>
        <v/>
      </c>
    </row>
    <row r="50">
      <c r="A50" s="19" t="n"/>
      <c r="B50" s="20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31" t="n"/>
      <c r="L50" s="19" t="n"/>
      <c r="M50" s="19" t="n"/>
      <c r="N50" s="19" t="n"/>
      <c r="O50" s="16">
        <f>IF(AND(C50="Acak sampel",ISNUMBER(K50)),K50,"")</f>
        <v/>
      </c>
    </row>
    <row r="51">
      <c r="A51" s="19" t="n"/>
      <c r="B51" s="20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31" t="n"/>
      <c r="L51" s="19" t="n"/>
      <c r="M51" s="19" t="n"/>
      <c r="N51" s="19" t="n"/>
      <c r="O51" s="16">
        <f>IF(AND(C51="Acak sampel",ISNUMBER(K51)),K51,"")</f>
        <v/>
      </c>
    </row>
    <row r="52">
      <c r="A52" s="19" t="n"/>
      <c r="B52" s="20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31" t="n"/>
      <c r="L52" s="19" t="n"/>
      <c r="M52" s="19" t="n"/>
      <c r="N52" s="19" t="n"/>
      <c r="O52" s="16">
        <f>IF(AND(C52="Acak sampel",ISNUMBER(K52)),K52,"")</f>
        <v/>
      </c>
    </row>
    <row r="53">
      <c r="A53" s="19" t="n"/>
      <c r="B53" s="20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31" t="n"/>
      <c r="L53" s="19" t="n"/>
      <c r="M53" s="19" t="n"/>
      <c r="N53" s="19" t="n"/>
      <c r="O53" s="16">
        <f>IF(AND(C53="Acak sampel",ISNUMBER(K53)),K53,"")</f>
        <v/>
      </c>
    </row>
    <row r="54">
      <c r="A54" s="19" t="n"/>
      <c r="B54" s="20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31" t="n"/>
      <c r="L54" s="19" t="n"/>
      <c r="M54" s="19" t="n"/>
      <c r="N54" s="19" t="n"/>
      <c r="O54" s="16">
        <f>IF(AND(C54="Acak sampel",ISNUMBER(K54)),K54,"")</f>
        <v/>
      </c>
    </row>
    <row r="55">
      <c r="A55" s="19" t="n"/>
      <c r="B55" s="20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31" t="n"/>
      <c r="L55" s="19" t="n"/>
      <c r="M55" s="19" t="n"/>
      <c r="N55" s="19" t="n"/>
      <c r="O55" s="16">
        <f>IF(AND(C55="Acak sampel",ISNUMBER(K55)),K55,"")</f>
        <v/>
      </c>
    </row>
    <row r="56">
      <c r="A56" s="19" t="n"/>
      <c r="B56" s="20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31" t="n"/>
      <c r="L56" s="19" t="n"/>
      <c r="M56" s="19" t="n"/>
      <c r="N56" s="19" t="n"/>
      <c r="O56" s="16">
        <f>IF(AND(C56="Acak sampel",ISNUMBER(K56)),K56,"")</f>
        <v/>
      </c>
    </row>
    <row r="57">
      <c r="A57" s="19" t="n"/>
      <c r="B57" s="20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31" t="n"/>
      <c r="L57" s="19" t="n"/>
      <c r="M57" s="19" t="n"/>
      <c r="N57" s="19" t="n"/>
      <c r="O57" s="16">
        <f>IF(AND(C57="Acak sampel",ISNUMBER(K57)),K57,"")</f>
        <v/>
      </c>
    </row>
    <row r="58">
      <c r="A58" s="19" t="n"/>
      <c r="B58" s="20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31" t="n"/>
      <c r="L58" s="19" t="n"/>
      <c r="M58" s="19" t="n"/>
      <c r="N58" s="19" t="n"/>
      <c r="O58" s="16">
        <f>IF(AND(C58="Acak sampel",ISNUMBER(K58)),K58,"")</f>
        <v/>
      </c>
    </row>
    <row r="59">
      <c r="A59" s="19" t="n"/>
      <c r="B59" s="20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31" t="n"/>
      <c r="L59" s="19" t="n"/>
      <c r="M59" s="19" t="n"/>
      <c r="N59" s="19" t="n"/>
      <c r="O59" s="16">
        <f>IF(AND(C59="Acak sampel",ISNUMBER(K59)),K59,"")</f>
        <v/>
      </c>
    </row>
    <row r="60">
      <c r="A60" s="19" t="n"/>
      <c r="B60" s="20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31" t="n"/>
      <c r="L60" s="19" t="n"/>
      <c r="M60" s="19" t="n"/>
      <c r="N60" s="19" t="n"/>
      <c r="O60" s="16">
        <f>IF(AND(C60="Acak sampel",ISNUMBER(K60)),K60,"")</f>
        <v/>
      </c>
    </row>
    <row r="61">
      <c r="A61" s="19" t="n"/>
      <c r="B61" s="20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31" t="n"/>
      <c r="L61" s="19" t="n"/>
      <c r="M61" s="19" t="n"/>
      <c r="N61" s="19" t="n"/>
      <c r="O61" s="16">
        <f>IF(AND(C61="Acak sampel",ISNUMBER(K61)),K61,"")</f>
        <v/>
      </c>
    </row>
    <row r="62">
      <c r="A62" s="19" t="n"/>
      <c r="B62" s="20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31" t="n"/>
      <c r="L62" s="19" t="n"/>
      <c r="M62" s="19" t="n"/>
      <c r="N62" s="19" t="n"/>
      <c r="O62" s="16">
        <f>IF(AND(C62="Acak sampel",ISNUMBER(K62)),K62,"")</f>
        <v/>
      </c>
    </row>
    <row r="63">
      <c r="A63" s="19" t="n"/>
      <c r="B63" s="20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31" t="n"/>
      <c r="L63" s="19" t="n"/>
      <c r="M63" s="19" t="n"/>
      <c r="N63" s="19" t="n"/>
      <c r="O63" s="16">
        <f>IF(AND(C63="Acak sampel",ISNUMBER(K63)),K63,"")</f>
        <v/>
      </c>
    </row>
    <row r="64">
      <c r="A64" s="19" t="n"/>
      <c r="B64" s="20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31" t="n"/>
      <c r="L64" s="19" t="n"/>
      <c r="M64" s="19" t="n"/>
      <c r="N64" s="19" t="n"/>
      <c r="O64" s="16">
        <f>IF(AND(C64="Acak sampel",ISNUMBER(K64)),K64,"")</f>
        <v/>
      </c>
    </row>
    <row r="65">
      <c r="A65" s="19" t="n"/>
      <c r="B65" s="20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31" t="n"/>
      <c r="L65" s="19" t="n"/>
      <c r="M65" s="19" t="n"/>
      <c r="N65" s="19" t="n"/>
      <c r="O65" s="16">
        <f>IF(AND(C65="Acak sampel",ISNUMBER(K65)),K65,"")</f>
        <v/>
      </c>
    </row>
    <row r="66">
      <c r="A66" s="19" t="n"/>
      <c r="B66" s="20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31" t="n"/>
      <c r="L66" s="19" t="n"/>
      <c r="M66" s="19" t="n"/>
      <c r="N66" s="19" t="n"/>
      <c r="O66" s="16">
        <f>IF(AND(C66="Acak sampel",ISNUMBER(K66)),K66,"")</f>
        <v/>
      </c>
    </row>
    <row r="67">
      <c r="A67" s="19" t="n"/>
      <c r="B67" s="20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31" t="n"/>
      <c r="L67" s="19" t="n"/>
      <c r="M67" s="19" t="n"/>
      <c r="N67" s="19" t="n"/>
      <c r="O67" s="16">
        <f>IF(AND(C67="Acak sampel",ISNUMBER(K67)),K67,"")</f>
        <v/>
      </c>
    </row>
    <row r="68">
      <c r="A68" s="19" t="n"/>
      <c r="B68" s="20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31" t="n"/>
      <c r="L68" s="19" t="n"/>
      <c r="M68" s="19" t="n"/>
      <c r="N68" s="19" t="n"/>
      <c r="O68" s="16">
        <f>IF(AND(C68="Acak sampel",ISNUMBER(K68)),K68,"")</f>
        <v/>
      </c>
    </row>
    <row r="69">
      <c r="A69" s="19" t="n"/>
      <c r="B69" s="20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31" t="n"/>
      <c r="L69" s="19" t="n"/>
      <c r="M69" s="19" t="n"/>
      <c r="N69" s="19" t="n"/>
      <c r="O69" s="16">
        <f>IF(AND(C69="Acak sampel",ISNUMBER(K69)),K69,"")</f>
        <v/>
      </c>
    </row>
    <row r="70">
      <c r="A70" s="19" t="n"/>
      <c r="B70" s="20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31" t="n"/>
      <c r="L70" s="19" t="n"/>
      <c r="M70" s="19" t="n"/>
      <c r="N70" s="19" t="n"/>
      <c r="O70" s="16">
        <f>IF(AND(C70="Acak sampel",ISNUMBER(K70)),K70,"")</f>
        <v/>
      </c>
    </row>
    <row r="71">
      <c r="A71" s="19" t="n"/>
      <c r="B71" s="20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31" t="n"/>
      <c r="L71" s="19" t="n"/>
      <c r="M71" s="19" t="n"/>
      <c r="N71" s="19" t="n"/>
      <c r="O71" s="16">
        <f>IF(AND(C71="Acak sampel",ISNUMBER(K71)),K71,"")</f>
        <v/>
      </c>
    </row>
    <row r="72">
      <c r="A72" s="19" t="n"/>
      <c r="B72" s="20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31" t="n"/>
      <c r="L72" s="19" t="n"/>
      <c r="M72" s="19" t="n"/>
      <c r="N72" s="19" t="n"/>
      <c r="O72" s="16">
        <f>IF(AND(C72="Acak sampel",ISNUMBER(K72)),K72,"")</f>
        <v/>
      </c>
    </row>
    <row r="73">
      <c r="A73" s="19" t="n"/>
      <c r="B73" s="20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31" t="n"/>
      <c r="L73" s="19" t="n"/>
      <c r="M73" s="19" t="n"/>
      <c r="N73" s="19" t="n"/>
      <c r="O73" s="16">
        <f>IF(AND(C73="Acak sampel",ISNUMBER(K73)),K73,"")</f>
        <v/>
      </c>
    </row>
    <row r="74">
      <c r="A74" s="19" t="n"/>
      <c r="B74" s="20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31" t="n"/>
      <c r="L74" s="19" t="n"/>
      <c r="M74" s="19" t="n"/>
      <c r="N74" s="19" t="n"/>
      <c r="O74" s="16">
        <f>IF(AND(C74="Acak sampel",ISNUMBER(K74)),K74,"")</f>
        <v/>
      </c>
    </row>
    <row r="75">
      <c r="A75" s="19" t="n"/>
      <c r="B75" s="20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31" t="n"/>
      <c r="L75" s="19" t="n"/>
      <c r="M75" s="19" t="n"/>
      <c r="N75" s="19" t="n"/>
      <c r="O75" s="16">
        <f>IF(AND(C75="Acak sampel",ISNUMBER(K75)),K75,"")</f>
        <v/>
      </c>
    </row>
    <row r="76">
      <c r="A76" s="19" t="n"/>
      <c r="B76" s="20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31" t="n"/>
      <c r="L76" s="19" t="n"/>
      <c r="M76" s="19" t="n"/>
      <c r="N76" s="19" t="n"/>
      <c r="O76" s="16">
        <f>IF(AND(C76="Acak sampel",ISNUMBER(K76)),K76,"")</f>
        <v/>
      </c>
    </row>
    <row r="77">
      <c r="A77" s="19" t="n"/>
      <c r="B77" s="20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31" t="n"/>
      <c r="L77" s="19" t="n"/>
      <c r="M77" s="19" t="n"/>
      <c r="N77" s="19" t="n"/>
      <c r="O77" s="16">
        <f>IF(AND(C77="Acak sampel",ISNUMBER(K77)),K77,"")</f>
        <v/>
      </c>
    </row>
    <row r="78">
      <c r="A78" s="19" t="n"/>
      <c r="B78" s="20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31" t="n"/>
      <c r="L78" s="19" t="n"/>
      <c r="M78" s="19" t="n"/>
      <c r="N78" s="19" t="n"/>
      <c r="O78" s="16">
        <f>IF(AND(C78="Acak sampel",ISNUMBER(K78)),K78,"")</f>
        <v/>
      </c>
    </row>
    <row r="79">
      <c r="A79" s="19" t="n"/>
      <c r="B79" s="20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31" t="n"/>
      <c r="L79" s="19" t="n"/>
      <c r="M79" s="19" t="n"/>
      <c r="N79" s="19" t="n"/>
      <c r="O79" s="16">
        <f>IF(AND(C79="Acak sampel",ISNUMBER(K79)),K79,"")</f>
        <v/>
      </c>
    </row>
    <row r="80">
      <c r="A80" s="19" t="n"/>
      <c r="B80" s="20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31" t="n"/>
      <c r="L80" s="19" t="n"/>
      <c r="M80" s="19" t="n"/>
      <c r="N80" s="19" t="n"/>
      <c r="O80" s="16">
        <f>IF(AND(C80="Acak sampel",ISNUMBER(K80)),K80,"")</f>
        <v/>
      </c>
    </row>
    <row r="81">
      <c r="A81" s="19" t="n"/>
      <c r="B81" s="20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31" t="n"/>
      <c r="L81" s="19" t="n"/>
      <c r="M81" s="19" t="n"/>
      <c r="N81" s="19" t="n"/>
      <c r="O81" s="16">
        <f>IF(AND(C81="Acak sampel",ISNUMBER(K81)),K81,"")</f>
        <v/>
      </c>
    </row>
    <row r="82">
      <c r="A82" s="19" t="n"/>
      <c r="B82" s="20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31" t="n"/>
      <c r="L82" s="19" t="n"/>
      <c r="M82" s="19" t="n"/>
      <c r="N82" s="19" t="n"/>
      <c r="O82" s="16">
        <f>IF(AND(C82="Acak sampel",ISNUMBER(K82)),K82,"")</f>
        <v/>
      </c>
    </row>
    <row r="83">
      <c r="A83" s="19" t="n"/>
      <c r="B83" s="20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31" t="n"/>
      <c r="L83" s="19" t="n"/>
      <c r="M83" s="19" t="n"/>
      <c r="N83" s="19" t="n"/>
      <c r="O83" s="16">
        <f>IF(AND(C83="Acak sampel",ISNUMBER(K83)),K83,"")</f>
        <v/>
      </c>
    </row>
    <row r="84">
      <c r="A84" s="19" t="n"/>
      <c r="B84" s="20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31" t="n"/>
      <c r="L84" s="19" t="n"/>
      <c r="M84" s="19" t="n"/>
      <c r="N84" s="19" t="n"/>
      <c r="O84" s="16">
        <f>IF(AND(C84="Acak sampel",ISNUMBER(K84)),K84,"")</f>
        <v/>
      </c>
    </row>
    <row r="85">
      <c r="A85" s="19" t="n"/>
      <c r="B85" s="20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31" t="n"/>
      <c r="L85" s="19" t="n"/>
      <c r="M85" s="19" t="n"/>
      <c r="N85" s="19" t="n"/>
      <c r="O85" s="16">
        <f>IF(AND(C85="Acak sampel",ISNUMBER(K85)),K85,"")</f>
        <v/>
      </c>
    </row>
    <row r="86">
      <c r="A86" s="19" t="n"/>
      <c r="B86" s="20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31" t="n"/>
      <c r="L86" s="19" t="n"/>
      <c r="M86" s="19" t="n"/>
      <c r="N86" s="19" t="n"/>
      <c r="O86" s="16">
        <f>IF(AND(C86="Acak sampel",ISNUMBER(K86)),K86,"")</f>
        <v/>
      </c>
    </row>
    <row r="87">
      <c r="A87" s="19" t="n"/>
      <c r="B87" s="20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31" t="n"/>
      <c r="L87" s="19" t="n"/>
      <c r="M87" s="19" t="n"/>
      <c r="N87" s="19" t="n"/>
      <c r="O87" s="16">
        <f>IF(AND(C87="Acak sampel",ISNUMBER(K87)),K87,"")</f>
        <v/>
      </c>
    </row>
    <row r="88">
      <c r="A88" s="19" t="n"/>
      <c r="B88" s="20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31" t="n"/>
      <c r="L88" s="19" t="n"/>
      <c r="M88" s="19" t="n"/>
      <c r="N88" s="19" t="n"/>
      <c r="O88" s="16">
        <f>IF(AND(C88="Acak sampel",ISNUMBER(K88)),K88,"")</f>
        <v/>
      </c>
    </row>
    <row r="89">
      <c r="A89" s="19" t="n"/>
      <c r="B89" s="20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31" t="n"/>
      <c r="L89" s="19" t="n"/>
      <c r="M89" s="19" t="n"/>
      <c r="N89" s="19" t="n"/>
      <c r="O89" s="16">
        <f>IF(AND(C89="Acak sampel",ISNUMBER(K89)),K89,"")</f>
        <v/>
      </c>
    </row>
    <row r="90">
      <c r="A90" s="19" t="n"/>
      <c r="B90" s="20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31" t="n"/>
      <c r="L90" s="19" t="n"/>
      <c r="M90" s="19" t="n"/>
      <c r="N90" s="19" t="n"/>
      <c r="O90" s="16">
        <f>IF(AND(C90="Acak sampel",ISNUMBER(K90)),K90,"")</f>
        <v/>
      </c>
    </row>
    <row r="91">
      <c r="A91" s="19" t="n"/>
      <c r="B91" s="20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31" t="n"/>
      <c r="L91" s="19" t="n"/>
      <c r="M91" s="19" t="n"/>
      <c r="N91" s="19" t="n"/>
      <c r="O91" s="16">
        <f>IF(AND(C91="Acak sampel",ISNUMBER(K91)),K91,"")</f>
        <v/>
      </c>
    </row>
    <row r="92">
      <c r="A92" s="19" t="n"/>
      <c r="B92" s="20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31" t="n"/>
      <c r="L92" s="19" t="n"/>
      <c r="M92" s="19" t="n"/>
      <c r="N92" s="19" t="n"/>
      <c r="O92" s="16">
        <f>IF(AND(C92="Acak sampel",ISNUMBER(K92)),K92,"")</f>
        <v/>
      </c>
    </row>
    <row r="93">
      <c r="A93" s="19" t="n"/>
      <c r="B93" s="20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31" t="n"/>
      <c r="L93" s="19" t="n"/>
      <c r="M93" s="19" t="n"/>
      <c r="N93" s="19" t="n"/>
      <c r="O93" s="16">
        <f>IF(AND(C93="Acak sampel",ISNUMBER(K93)),K93,"")</f>
        <v/>
      </c>
    </row>
    <row r="94">
      <c r="A94" s="19" t="n"/>
      <c r="B94" s="20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31" t="n"/>
      <c r="L94" s="19" t="n"/>
      <c r="M94" s="19" t="n"/>
      <c r="N94" s="19" t="n"/>
      <c r="O94" s="16">
        <f>IF(AND(C94="Acak sampel",ISNUMBER(K94)),K94,"")</f>
        <v/>
      </c>
    </row>
    <row r="95">
      <c r="A95" s="19" t="n"/>
      <c r="B95" s="20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31" t="n"/>
      <c r="L95" s="19" t="n"/>
      <c r="M95" s="19" t="n"/>
      <c r="N95" s="19" t="n"/>
      <c r="O95" s="16">
        <f>IF(AND(C95="Acak sampel",ISNUMBER(K95)),K95,"")</f>
        <v/>
      </c>
    </row>
    <row r="96">
      <c r="A96" s="19" t="n"/>
      <c r="B96" s="20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31" t="n"/>
      <c r="L96" s="19" t="n"/>
      <c r="M96" s="19" t="n"/>
      <c r="N96" s="19" t="n"/>
      <c r="O96" s="16">
        <f>IF(AND(C96="Acak sampel",ISNUMBER(K96)),K96,"")</f>
        <v/>
      </c>
    </row>
    <row r="97">
      <c r="A97" s="19" t="n"/>
      <c r="B97" s="20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31" t="n"/>
      <c r="L97" s="19" t="n"/>
      <c r="M97" s="19" t="n"/>
      <c r="N97" s="19" t="n"/>
      <c r="O97" s="16">
        <f>IF(AND(C97="Acak sampel",ISNUMBER(K97)),K97,"")</f>
        <v/>
      </c>
    </row>
    <row r="98">
      <c r="A98" s="19" t="n"/>
      <c r="B98" s="20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31" t="n"/>
      <c r="L98" s="19" t="n"/>
      <c r="M98" s="19" t="n"/>
      <c r="N98" s="19" t="n"/>
      <c r="O98" s="16">
        <f>IF(AND(C98="Acak sampel",ISNUMBER(K98)),K98,"")</f>
        <v/>
      </c>
    </row>
    <row r="99">
      <c r="A99" s="19" t="n"/>
      <c r="B99" s="20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31" t="n"/>
      <c r="L99" s="19" t="n"/>
      <c r="M99" s="19" t="n"/>
      <c r="N99" s="19" t="n"/>
      <c r="O99" s="16">
        <f>IF(AND(C99="Acak sampel",ISNUMBER(K99)),K99,"")</f>
        <v/>
      </c>
    </row>
    <row r="100">
      <c r="A100" s="19" t="n"/>
      <c r="B100" s="20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31" t="n"/>
      <c r="L100" s="19" t="n"/>
      <c r="M100" s="19" t="n"/>
      <c r="N100" s="19" t="n"/>
      <c r="O100" s="16">
        <f>IF(AND(C100="Acak sampel",ISNUMBER(K100)),K100,"")</f>
        <v/>
      </c>
    </row>
    <row r="101">
      <c r="A101" s="19" t="n"/>
      <c r="B101" s="20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31" t="n"/>
      <c r="L101" s="19" t="n"/>
      <c r="M101" s="19" t="n"/>
      <c r="N101" s="19" t="n"/>
      <c r="O101" s="16">
        <f>IF(AND(C101="Acak sampel",ISNUMBER(K101)),K101,"")</f>
        <v/>
      </c>
    </row>
  </sheetData>
  <dataValidations count="9">
    <dataValidation sqref="C2:C101" showDropDown="0" showInputMessage="0" showErrorMessage="0" allowBlank="1" type="list">
      <formula1>"Acak sampel,Kontak hangat"</formula1>
    </dataValidation>
    <dataValidation sqref="D2:D101" showDropDown="0" showInputMessage="0" showErrorMessage="0" allowBlank="1" type="list">
      <formula1>"WA,Telepon,Kunjungan"</formula1>
    </dataValidation>
    <dataValidation sqref="E2:E101" showDropDown="0" showInputMessage="0" showErrorMessage="0" allowBlank="1" type="list">
      <formula1>"Ya,Tidak"</formula1>
    </dataValidation>
    <dataValidation sqref="F2:F101" showDropDown="0" showInputMessage="0" showErrorMessage="0" allowBlank="1" type="list">
      <formula1>"Pemilik,Manajer,Staf"</formula1>
    </dataValidation>
    <dataValidation sqref="G2:G101" showDropDown="0" showInputMessage="0" showErrorMessage="0" allowBlank="1" type="list">
      <formula1>"Ya,Tidak,Sedang proses,Tidak tahu"</formula1>
    </dataValidation>
    <dataValidation sqref="H2:H101" showDropDown="0" showInputMessage="0" showErrorMessage="0" allowBlank="1" type="list">
      <formula1>"1,2,3,4,5"</formula1>
    </dataValidation>
    <dataValidation sqref="I2:I101" showDropDown="0" showInputMessage="0" showErrorMessage="0" allowBlank="1" type="list">
      <formula1>"Ya,Mungkin,Tidak"</formula1>
    </dataValidation>
    <dataValidation sqref="J2:J101" showDropDown="0" showInputMessage="0" showErrorMessage="0" allowBlank="1" type="list">
      <formula1>"Starter,Professional,Enterprise,Belum tahu"</formula1>
    </dataValidation>
    <dataValidation sqref="L2:L101" showDropDown="0" showInputMessage="0" showErrorMessage="0" allowBlank="1" type="list">
      <formula1>"Ya,Mungkin,Tidak"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70" customWidth="1" min="7" max="7"/>
  </cols>
  <sheetData>
    <row r="1">
      <c r="A1" s="4" t="inlineStr">
        <is>
          <t>HASIL FUNNEL (hanya Sumber = 'Acak sampel')</t>
        </is>
      </c>
    </row>
    <row r="3">
      <c r="A3" s="5" t="inlineStr">
        <is>
          <t>Metrik</t>
        </is>
      </c>
      <c r="B3" s="5" t="inlineStr">
        <is>
          <t>Pembilang</t>
        </is>
      </c>
      <c r="C3" s="5" t="inlineStr">
        <is>
          <t>Penyebut</t>
        </is>
      </c>
      <c r="D3" s="5" t="inlineStr">
        <is>
          <t>Persentase</t>
        </is>
      </c>
      <c r="E3" s="5" t="inlineStr">
        <is>
          <t>Bawah (95%)</t>
        </is>
      </c>
      <c r="F3" s="5" t="inlineStr">
        <is>
          <t>Atas (95%)</t>
        </is>
      </c>
      <c r="G3" s="5" t="inlineStr">
        <is>
          <t>Catatan</t>
        </is>
      </c>
    </row>
    <row r="4">
      <c r="A4" s="6" t="inlineStr">
        <is>
          <t>Tersambung dari total kontak</t>
        </is>
      </c>
      <c r="B4" s="17">
        <f>COUNTIFS(PERCAKAPAN!$C$2:$C$101,"Acak sampel",PERCAKAPAN!$E$2:$E$101,"Ya")</f>
        <v/>
      </c>
      <c r="C4" s="17">
        <f>COUNTIF(PERCAKAPAN!$C$2:$C$101,"Acak sampel")</f>
        <v/>
      </c>
      <c r="D4" s="23">
        <f>IF(C4=0,"",B4/C4)</f>
        <v/>
      </c>
      <c r="E4" s="23">
        <f>IF(C4=0,"",(D4+INPUT!$B$11^2/(2*C4)-INPUT!$B$11*SQRT(D4*(1-D4)/C4+INPUT!$B$11^2/(4*C4^2)))/(1+INPUT!$B$11^2/C4))</f>
        <v/>
      </c>
      <c r="F4" s="23">
        <f>IF(C4=0,"",(D4+INPUT!$B$11^2/(2*C4)+INPUT!$B$11*SQRT(D4*(1-D4)/C4+INPUT!$B$11^2/(4*C4^2)))/(1+INPUT!$B$11^2/C4))</f>
        <v/>
      </c>
      <c r="G4" s="8" t="inlineStr">
        <is>
          <t>Tingkat keberhasilan menjangkau. Dasar untuk menghitung kontak yang dibutuhkan per percakapan.</t>
        </is>
      </c>
    </row>
    <row r="5">
      <c r="A5" s="6" t="inlineStr">
        <is>
          <t>Punya NIB (dari yang tersambung &amp; menjawab)</t>
        </is>
      </c>
      <c r="B5" s="17">
        <f>COUNTIFS(PERCAKAPAN!$C$2:$C$101,"Acak sampel",PERCAKAPAN!$E$2:$E$101,"Ya",PERCAKAPAN!$G$2:$G$101,"Ya")</f>
        <v/>
      </c>
      <c r="C5" s="17">
        <f>SUMPRODUCT((PERCAKAPAN!$C$2:$C$101="Acak sampel")*(PERCAKAPAN!$E$2:$E$101="Ya")*(PERCAKAPAN!$G$2:$G$101&lt;&gt;""))</f>
        <v/>
      </c>
      <c r="D5" s="23">
        <f>IF(C5=0,"",B5/C5)</f>
        <v/>
      </c>
      <c r="E5" s="23">
        <f>IF(C5=0,"",(D5+INPUT!$B$11^2/(2*C5)-INPUT!$B$11*SQRT(D5*(1-D5)/C5+INPUT!$B$11^2/(4*C5^2)))/(1+INPUT!$B$11^2/C5))</f>
        <v/>
      </c>
      <c r="F5" s="23">
        <f>IF(C5=0,"",(D5+INPUT!$B$11^2/(2*C5)+INPUT!$B$11*SQRT(D5*(1-D5)/C5+INPUT!$B$11^2/(4*C5^2)))/(1+INPUT!$B$11^2/C5))</f>
        <v/>
      </c>
      <c r="G5" s="8" t="inlineStr">
        <is>
          <t>Jawaban backlog #3. 'Tidak tahu' dihitung sebagai bukan NIB; catat jumlahnya di Catatan.</t>
        </is>
      </c>
    </row>
    <row r="6">
      <c r="A6" s="6" t="inlineStr">
        <is>
          <t>Minat bundel = Ya (dari yang tersambung)</t>
        </is>
      </c>
      <c r="B6" s="17">
        <f>COUNTIFS(PERCAKAPAN!$C$2:$C$101,"Acak sampel",PERCAKAPAN!$E$2:$E$101,"Ya",PERCAKAPAN!$I$2:$I$101,"Ya")</f>
        <v/>
      </c>
      <c r="C6" s="17">
        <f>SUMPRODUCT((PERCAKAPAN!$C$2:$C$101="Acak sampel")*(PERCAKAPAN!$E$2:$E$101="Ya")*(PERCAKAPAN!$I$2:$I$101&lt;&gt;""))</f>
        <v/>
      </c>
      <c r="D6" s="23">
        <f>IF(C6=0,"",B6/C6)</f>
        <v/>
      </c>
      <c r="E6" s="23">
        <f>IF(C6=0,"",(D6+INPUT!$B$11^2/(2*C6)-INPUT!$B$11*SQRT(D6*(1-D6)/C6+INPUT!$B$11^2/(4*C6^2)))/(1+INPUT!$B$11^2/C6))</f>
        <v/>
      </c>
      <c r="F6" s="23">
        <f>IF(C6=0,"",(D6+INPUT!$B$11^2/(2*C6)+INPUT!$B$11*SQRT(D6*(1-D6)/C6+INPUT!$B$11^2/(4*C6^2)))/(1+INPUT!$B$11^2/C6))</f>
        <v/>
      </c>
      <c r="G6" s="8" t="inlineStr">
        <is>
          <t>Minat lisan bukan pembelian. Jangan diperlakukan sebagai close rate.</t>
        </is>
      </c>
    </row>
    <row r="7">
      <c r="A7" s="6" t="inlineStr">
        <is>
          <t>Bersedia LOI = Ya (dari yang tersambung)</t>
        </is>
      </c>
      <c r="B7" s="17">
        <f>COUNTIFS(PERCAKAPAN!$C$2:$C$101,"Acak sampel",PERCAKAPAN!$E$2:$E$101,"Ya",PERCAKAPAN!$L$2:$L$101,"Ya")</f>
        <v/>
      </c>
      <c r="C7" s="17">
        <f>SUMPRODUCT((PERCAKAPAN!$C$2:$C$101="Acak sampel")*(PERCAKAPAN!$E$2:$E$101="Ya")*(PERCAKAPAN!$L$2:$L$101&lt;&gt;""))</f>
        <v/>
      </c>
      <c r="D7" s="23">
        <f>IF(C7=0,"",B7/C7)</f>
        <v/>
      </c>
      <c r="E7" s="23">
        <f>IF(C7=0,"",(D7+INPUT!$B$11^2/(2*C7)-INPUT!$B$11*SQRT(D7*(1-D7)/C7+INPUT!$B$11^2/(4*C7^2)))/(1+INPUT!$B$11^2/C7))</f>
        <v/>
      </c>
      <c r="F7" s="23">
        <f>IF(C7=0,"",(D7+INPUT!$B$11^2/(2*C7)+INPUT!$B$11*SQRT(D7*(1-D7)/C7+INPUT!$B$11^2/(4*C7^2)))/(1+INPUT!$B$11^2/C7))</f>
        <v/>
      </c>
      <c r="G7" s="8" t="inlineStr">
        <is>
          <t>Kandidat close rate dingin (versi longgar). Close rate sebenarnya baru terukur saat bundel dibayar.</t>
        </is>
      </c>
    </row>
    <row r="9">
      <c r="A9" t="inlineStr">
        <is>
          <t>Kontak per percakapan berhasil</t>
        </is>
      </c>
      <c r="B9" s="32">
        <f>IF(B4=0,"",C4/B4)</f>
        <v/>
      </c>
    </row>
    <row r="10">
      <c r="A10" t="inlineStr">
        <is>
          <t>Kontak per LOI</t>
        </is>
      </c>
      <c r="B10" s="32">
        <f>IF(B7=0,"",C4/B7)</f>
        <v/>
      </c>
    </row>
    <row r="11">
      <c r="A11" t="inlineStr">
        <is>
          <t>Median harga wajar versi merchant (Rp/bulan)</t>
        </is>
      </c>
      <c r="B11" s="16">
        <f>IF(COUNT(PERCAKAPAN!$O$2:$O$101)=0,"",MEDIAN(PERCAKAPAN!$O$2:$O$101))</f>
        <v/>
      </c>
      <c r="G11" t="inlineStr">
        <is>
          <t>Masukan untuk #13 (harga subscription). Bandingkan dengan Rp299rb / Rp599rb / Rp799rb.</t>
        </is>
      </c>
    </row>
    <row r="13">
      <c r="A13" s="28" t="inlineStr">
        <is>
          <t>Bacaan: persentase dengan n kecil (&lt;20) sangat lebar rentangnya. Jangan dipakai sebagai angka tunggal di deck.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70" customWidth="1" min="5" max="5"/>
  </cols>
  <sheetData>
    <row r="1">
      <c r="A1" s="4" t="inlineStr">
        <is>
          <t>SOM DARI KAPASITAS (merchant berbayar aktif di M12)</t>
        </is>
      </c>
    </row>
    <row r="3">
      <c r="A3" t="inlineStr">
        <is>
          <t>Meeting per tahun operasi</t>
        </is>
      </c>
      <c r="B3" s="33">
        <f>INPUT!B6*INPUT!B7</f>
        <v/>
      </c>
    </row>
    <row r="4">
      <c r="A4" t="inlineStr">
        <is>
          <t>Meeting pra-launch</t>
        </is>
      </c>
      <c r="B4" s="33">
        <f>INPUT!B6*INPUT!B8</f>
        <v/>
      </c>
    </row>
    <row r="5">
      <c r="A5" t="inlineStr">
        <is>
          <t>Retensi bulanan</t>
        </is>
      </c>
      <c r="B5" s="34">
        <f>INPUT!B5</f>
        <v/>
      </c>
    </row>
    <row r="6">
      <c r="A6" t="inlineStr">
        <is>
          <t>Rata-rata survival kohort yang masuk sepanjang tahun (sampai M12)</t>
        </is>
      </c>
      <c r="B6" s="35">
        <f>IF(B5=1,1,(1-B5^12)/(12*(1-B5)))</f>
        <v/>
      </c>
    </row>
    <row r="7">
      <c r="A7" t="inlineStr">
        <is>
          <t>Survival kohort pra-launch sampai M12</t>
        </is>
      </c>
      <c r="B7" s="35">
        <f>B5^12</f>
        <v/>
      </c>
    </row>
    <row r="9">
      <c r="A9" s="5" t="inlineStr">
        <is>
          <t>Hasil</t>
        </is>
      </c>
      <c r="B9" s="5" t="inlineStr">
        <is>
          <t>Close rate rendah</t>
        </is>
      </c>
      <c r="C9" s="5" t="inlineStr">
        <is>
          <t>Close rate tinggi</t>
        </is>
      </c>
      <c r="D9" s="5" t="inlineStr"/>
      <c r="E9" s="5" t="inlineStr">
        <is>
          <t>Catatan</t>
        </is>
      </c>
    </row>
    <row r="10">
      <c r="A10" t="inlineStr">
        <is>
          <t>Close rate dipakai</t>
        </is>
      </c>
      <c r="B10" s="34">
        <f>INPUT!B9</f>
        <v/>
      </c>
      <c r="C10" s="34">
        <f>INPUT!B10</f>
        <v/>
      </c>
    </row>
    <row r="11">
      <c r="A11" t="inlineStr">
        <is>
          <t>Sign-up kotor (berbayar sejak awal, karena bundel dibayar di muka)</t>
        </is>
      </c>
      <c r="B11" s="33">
        <f>(($B$3+$B$4)*B$10)</f>
        <v/>
      </c>
      <c r="C11" s="33">
        <f>(($B$3+$B$4)*C$10)</f>
        <v/>
      </c>
    </row>
    <row r="12">
      <c r="A12" t="inlineStr">
        <is>
          <t>Merchant aktif di M12 (kapasitas)</t>
        </is>
      </c>
      <c r="B12" s="33">
        <f>B$10*($B$3*$B$6+$B$4*$B$7)</f>
        <v/>
      </c>
      <c r="C12" s="33">
        <f>C$10*($B$3*$B$6+$B$4*$B$7)</f>
        <v/>
      </c>
      <c r="E12" t="inlineStr">
        <is>
          <t>Pendekatan kohort seragam: sign-up merata sepanjang tahun, retensi konstan, tanpa kurva ramp.</t>
        </is>
      </c>
    </row>
    <row r="13">
      <c r="A13" t="inlineStr">
        <is>
          <t>Batas porsi SAM (jika diisi di INPUT)</t>
        </is>
      </c>
      <c r="B13" s="16">
        <f>IF(INPUT!$B$12="","",HASIL_SAM!$I$11*INPUT!$B$12)</f>
        <v/>
      </c>
      <c r="C13" s="16">
        <f>IF(INPUT!$B$12="","",HASIL_SAM!$I$11*INPUT!$B$12)</f>
        <v/>
      </c>
      <c r="E13" t="inlineStr">
        <is>
          <t>Hanya dihitung bila porsi SAM diisi dan HASIL_SAM sudah terisi.</t>
        </is>
      </c>
    </row>
    <row r="14">
      <c r="A14" t="inlineStr">
        <is>
          <t>SOM kandidat = min(kapasitas, batas SAM)</t>
        </is>
      </c>
      <c r="B14" s="33">
        <f>IF(INPUT!$B$12="",B$10*($B$3*$B$6+$B$4*$B$7),MIN(B$10*($B$3*$B$6+$B$4*$B$7),HASIL_SAM!$I$11*INPUT!$B$12))</f>
        <v/>
      </c>
      <c r="C14" s="33">
        <f>IF(INPUT!$B$12="",C$10*($B$3*$B$6+$B$4*$B$7),MIN(C$10*($B$3*$B$6+$B$4*$B$7),HASIL_SAM!$I$11*INPUT!$B$12))</f>
        <v/>
      </c>
    </row>
    <row r="15">
      <c r="A15" t="inlineStr">
        <is>
          <t>SOM kandidat sebagai % SAM tengah (uji kewajaran investor)</t>
        </is>
      </c>
      <c r="B15" s="35">
        <f>IF(OR(HASIL_SAM!$I$11=0,HASIL_SAM!$I$11=""),"",B14/HASIL_SAM!$I$11)</f>
        <v/>
      </c>
      <c r="C15" s="35">
        <f>IF(OR(HASIL_SAM!$I$11=0,HASIL_SAM!$I$11=""),"",C14/HASIL_SAM!$I$11)</f>
        <v/>
      </c>
    </row>
    <row r="18">
      <c r="A18" s="18" t="inlineStr">
        <is>
          <t>MEETING PER MINGGU YANG DIBUTUHKAN UNTUK TARGET FOS</t>
        </is>
      </c>
    </row>
    <row r="19">
      <c r="A19" s="5" t="inlineStr">
        <is>
          <t>Target</t>
        </is>
      </c>
      <c r="B19" s="5" t="inlineStr">
        <is>
          <t>Merchant M12</t>
        </is>
      </c>
      <c r="C19" s="5" t="inlineStr">
        <is>
          <t>Perlu (close rendah)</t>
        </is>
      </c>
      <c r="D19" s="5" t="inlineStr">
        <is>
          <t>Perlu (close tinggi)</t>
        </is>
      </c>
      <c r="E19" s="5" t="inlineStr">
        <is>
          <t>Catatan</t>
        </is>
      </c>
    </row>
    <row r="20">
      <c r="A20" t="inlineStr">
        <is>
          <t>FOS Low</t>
        </is>
      </c>
      <c r="B20" s="21">
        <f>INPUT!$B$13</f>
        <v/>
      </c>
      <c r="C20" s="32">
        <f>B20/(INPUT!$B$9*(INPUT!$B$7*$B$6+INPUT!$B$8*$B$7))</f>
        <v/>
      </c>
      <c r="D20" s="32">
        <f>B20/(INPUT!$B$10*(INPUT!$B$7*$B$6+INPUT!$B$8*$B$7))</f>
        <v/>
      </c>
      <c r="E20" t="inlineStr">
        <is>
          <t>Bandingkan dengan INPUT!B6 (kapasitas saat ini).</t>
        </is>
      </c>
    </row>
    <row r="21">
      <c r="A21" t="inlineStr">
        <is>
          <t>FOS Mid</t>
        </is>
      </c>
      <c r="B21" s="21">
        <f>INPUT!$B$14</f>
        <v/>
      </c>
      <c r="C21" s="32">
        <f>B21/(INPUT!$B$9*(INPUT!$B$7*$B$6+INPUT!$B$8*$B$7))</f>
        <v/>
      </c>
      <c r="D21" s="32">
        <f>B21/(INPUT!$B$10*(INPUT!$B$7*$B$6+INPUT!$B$8*$B$7))</f>
        <v/>
      </c>
    </row>
    <row r="22">
      <c r="A22" t="inlineStr">
        <is>
          <t>FOS High</t>
        </is>
      </c>
      <c r="B22" s="21">
        <f>INPUT!$B$15</f>
        <v/>
      </c>
      <c r="C22" s="32">
        <f>B22/(INPUT!$B$9*(INPUT!$B$7*$B$6+INPUT!$B$8*$B$7))</f>
        <v/>
      </c>
      <c r="D22" s="32">
        <f>B22/(INPUT!$B$10*(INPUT!$B$7*$B$6+INPUT!$B$8*$B$7))</f>
        <v/>
      </c>
      <c r="E22" t="inlineStr">
        <is>
          <t>Selisih kecil dengan angka di draft (27-55) wajar: draft memakai kurva bulanan FOS.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2026-10-08T16:56:19Z</dcterms:created>
  <dcterms:modified xsi:type="dcterms:W3CDTF">2026-10-08T16:56:19Z</dcterms:modified>
</cp:coreProperties>
</file>