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  <sheet name="Proyeksi" sheetId="2" state="visible" r:id="rId2"/>
    <sheet name="EksVsLogistik" sheetId="3" state="visible" r:id="rId3"/>
    <sheet name="BiayaRevenue" sheetId="4" state="visible" r:id="rId4"/>
    <sheet name="Temuan" sheetId="5" state="visible" r:id="rId5"/>
    <sheet name="Sumb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(#,##0);-"/>
    <numFmt numFmtId="165" formatCode="0.0%;(0.0%);-"/>
    <numFmt numFmtId="166" formatCode="&quot;Rp&quot;#,##0;(&quot;Rp&quot;#,##0);-"/>
    <numFmt numFmtId="167" formatCode="0.0%"/>
    <numFmt numFmtId="168" formatCode="0.00&quot;x&quot;"/>
    <numFmt numFmtId="169" formatCode="#,##0.0;(#,##0.0);-"/>
    <numFmt numFmtId="170" formatCode="#,##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FFFF00"/>
      </patternFill>
    </fill>
    <fill>
      <patternFill patternType="solid">
        <fgColor rgb="00D9E2F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164" fontId="5" fillId="0" borderId="1" pivotButton="0" quotePrefix="0" xfId="0"/>
    <xf numFmtId="0" fontId="4" fillId="0" borderId="1" pivotButton="0" quotePrefix="0" xfId="0"/>
    <xf numFmtId="0" fontId="2" fillId="0" borderId="1" applyAlignment="1" pivotButton="0" quotePrefix="0" xfId="0">
      <alignment vertical="top" wrapText="1"/>
    </xf>
    <xf numFmtId="165" fontId="4" fillId="0" borderId="1" pivotButton="0" quotePrefix="0" xfId="0"/>
    <xf numFmtId="165" fontId="5" fillId="4" borderId="1" pivotButton="0" quotePrefix="0" xfId="0"/>
    <xf numFmtId="164" fontId="5" fillId="4" borderId="1" pivotButton="0" quotePrefix="0" xfId="0"/>
    <xf numFmtId="1" fontId="5" fillId="4" borderId="1" pivotButton="0" quotePrefix="0" xfId="0"/>
    <xf numFmtId="165" fontId="5" fillId="0" borderId="1" pivotButton="0" quotePrefix="0" xfId="0"/>
    <xf numFmtId="166" fontId="5" fillId="0" borderId="1" pivotButton="0" quotePrefix="0" xfId="0"/>
    <xf numFmtId="1" fontId="5" fillId="0" borderId="1" pivotButton="0" quotePrefix="0" xfId="0"/>
    <xf numFmtId="166" fontId="4" fillId="0" borderId="1" pivotButton="0" quotePrefix="0" xfId="0"/>
    <xf numFmtId="0" fontId="6" fillId="0" borderId="1" pivotButton="0" quotePrefix="0" xfId="0"/>
    <xf numFmtId="164" fontId="7" fillId="0" borderId="1" pivotButton="0" quotePrefix="0" xfId="0"/>
    <xf numFmtId="0" fontId="2" fillId="0" borderId="1" pivotButton="0" quotePrefix="0" xfId="0"/>
    <xf numFmtId="0" fontId="6" fillId="0" borderId="1" applyAlignment="1" pivotButton="0" quotePrefix="0" xfId="0">
      <alignment vertical="top" wrapText="1"/>
    </xf>
    <xf numFmtId="167" fontId="4" fillId="0" borderId="1" pivotButton="0" quotePrefix="0" xfId="0"/>
    <xf numFmtId="167" fontId="7" fillId="0" borderId="1" pivotButton="0" quotePrefix="0" xfId="0"/>
    <xf numFmtId="1" fontId="4" fillId="0" borderId="1" pivotButton="0" quotePrefix="0" xfId="0"/>
    <xf numFmtId="164" fontId="4" fillId="0" borderId="1" pivotButton="0" quotePrefix="0" xfId="0"/>
    <xf numFmtId="0" fontId="6" fillId="5" borderId="0" pivotButton="0" quotePrefix="0" xfId="0"/>
    <xf numFmtId="168" fontId="4" fillId="0" borderId="1" pivotButton="0" quotePrefix="0" xfId="0"/>
    <xf numFmtId="169" fontId="4" fillId="0" borderId="1" pivotButton="0" quotePrefix="0" xfId="0"/>
    <xf numFmtId="164" fontId="6" fillId="0" borderId="1" pivotButton="0" quotePrefix="0" xfId="0"/>
    <xf numFmtId="170" fontId="6" fillId="0" borderId="1" pivotButton="0" quotePrefix="0" xfId="0"/>
    <xf numFmtId="166" fontId="6" fillId="0" borderId="1" pivotButton="0" quotePrefix="0" xfId="0"/>
    <xf numFmtId="166" fontId="6" fillId="6" borderId="1" pivotButton="0" quotePrefix="0" xfId="0"/>
    <xf numFmtId="165" fontId="6" fillId="6" borderId="1" pivotButton="0" quotePrefix="0" xfId="0"/>
    <xf numFmtId="164" fontId="6" fillId="6" borderId="1" pivotButton="0" quotePrefix="0" xfId="0"/>
    <xf numFmtId="165" fontId="6" fillId="0" borderId="1" pivotButton="0" quotePrefix="0" xfId="0"/>
    <xf numFmtId="0" fontId="6" fillId="0" borderId="0" pivotButton="0" quotePrefix="0" xfId="0"/>
    <xf numFmtId="1" fontId="7" fillId="0" borderId="1" pivotButton="0" quotePrefix="0" xfId="0"/>
    <xf numFmtId="1" fontId="4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Merchant akhir tahun: logistik vs eksponensial</a:t>
            </a:r>
          </a:p>
        </rich>
      </tx>
    </title>
    <plotArea>
      <lineChart>
        <grouping val="standard"/>
        <ser>
          <idx val="0"/>
          <order val="0"/>
          <tx>
            <strRef>
              <f>'EksVsLogistik'!A5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'EksVsLogistik'!$B$4:$F$4</f>
            </numRef>
          </cat>
          <val>
            <numRef>
              <f>'EksVsLogistik'!$B$5:$F$5</f>
            </numRef>
          </val>
        </ser>
        <ser>
          <idx val="1"/>
          <order val="1"/>
          <tx>
            <strRef>
              <f>'EksVsLogistik'!A6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'EksVsLogistik'!$B$4:$F$4</f>
            </numRef>
          </cat>
          <val>
            <numRef>
              <f>'EksVsLogistik'!$B$6:$F$6</f>
            </numRef>
          </val>
        </ser>
        <ser>
          <idx val="2"/>
          <order val="2"/>
          <tx>
            <strRef>
              <f>'EksVsLogistik'!A7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'EksVsLogistik'!$B$4:$F$4</f>
            </numRef>
          </cat>
          <val>
            <numRef>
              <f>'EksVsLogistik'!$B$7:$F$7</f>
            </numRef>
          </val>
        </ser>
        <ser>
          <idx val="3"/>
          <order val="3"/>
          <tx>
            <strRef>
              <f>'EksVsLogistik'!A8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'EksVsLogistik'!$B$4:$F$4</f>
            </numRef>
          </cat>
          <val>
            <numRef>
              <f>'EksVsLogistik'!$B$8:$F$8</f>
            </numRef>
          </val>
        </ser>
        <ser>
          <idx val="4"/>
          <order val="4"/>
          <tx>
            <strRef>
              <f>'EksVsLogistik'!A9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'EksVsLogistik'!$B$4:$F$4</f>
            </numRef>
          </cat>
          <val>
            <numRef>
              <f>'EksVsLogistik'!$B$9:$F$9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Tahun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Merchant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18" customWidth="1" min="3" max="3"/>
    <col width="70" customWidth="1" min="4" max="4"/>
  </cols>
  <sheetData>
    <row r="1" ht="26" customHeight="1">
      <c r="A1" s="1" t="inlineStr">
        <is>
          <t>INPUT &amp; ASUMSI - Proyeksi Merchant Seato Y2-Y5 (not final)</t>
        </is>
      </c>
    </row>
    <row r="2">
      <c r="A2" s="2" t="inlineStr">
        <is>
          <t>Legenda: biru = angka input (hardcode) | hitam = formula | kuning = ASUMSI BARU dari analisis ini (belum divalidasi) | tanpa kuning = diambil dari file FOS.</t>
        </is>
      </c>
    </row>
    <row r="4">
      <c r="A4" s="3" t="inlineStr">
        <is>
          <t>Parameter</t>
        </is>
      </c>
      <c r="B4" s="3" t="inlineStr">
        <is>
          <t>Nilai</t>
        </is>
      </c>
      <c r="C4" s="3" t="inlineStr">
        <is>
          <t>Satuan</t>
        </is>
      </c>
      <c r="D4" s="3" t="inlineStr">
        <is>
          <t>Sumber / status</t>
        </is>
      </c>
    </row>
    <row r="6">
      <c r="A6" s="4" t="inlineStr">
        <is>
          <t>Merchant awal (Y1 M1)</t>
        </is>
      </c>
      <c r="B6" s="5" t="n">
        <v>50</v>
      </c>
      <c r="C6" s="6" t="inlineStr">
        <is>
          <t>merchant</t>
        </is>
      </c>
      <c r="D6" s="7" t="inlineStr">
        <is>
          <t>File FOS, Growth Projection Y1 M1</t>
        </is>
      </c>
    </row>
    <row r="7">
      <c r="A7" s="4" t="inlineStr">
        <is>
          <t>Merchant Y1 M11</t>
        </is>
      </c>
      <c r="B7" s="5" t="n">
        <v>300</v>
      </c>
      <c r="C7" s="6" t="inlineStr">
        <is>
          <t>merchant</t>
        </is>
      </c>
      <c r="D7" s="7" t="inlineStr">
        <is>
          <t>File FOS, Growth Projection Y1 M11</t>
        </is>
      </c>
    </row>
    <row r="8">
      <c r="A8" s="4" t="inlineStr">
        <is>
          <t>Merchant Y1 M12 (titik awal proyeksi, N0)</t>
        </is>
      </c>
      <c r="B8" s="5" t="n">
        <v>340</v>
      </c>
      <c r="C8" s="6" t="inlineStr">
        <is>
          <t>merchant</t>
        </is>
      </c>
      <c r="D8" s="7" t="inlineStr">
        <is>
          <t>File FOS, Growth Projection Y1 M12</t>
        </is>
      </c>
    </row>
    <row r="9">
      <c r="A9" s="4" t="inlineStr">
        <is>
          <t>Growth bulanan terakhir Y1 (M11 ke M12)</t>
        </is>
      </c>
      <c r="B9" s="8">
        <f>B8/B7-1</f>
        <v/>
      </c>
      <c r="C9" s="6" t="inlineStr">
        <is>
          <t>per bulan</t>
        </is>
      </c>
      <c r="D9" s="7" t="inlineStr">
        <is>
          <t>Formula dari file FOS</t>
        </is>
      </c>
    </row>
    <row r="10">
      <c r="A10" s="4" t="inlineStr">
        <is>
          <t>Growth rata-rata Y1 (CAGR bulanan M1-M12)</t>
        </is>
      </c>
      <c r="B10" s="8">
        <f>(B8/B6)^(1/11)-1</f>
        <v/>
      </c>
      <c r="C10" s="6" t="inlineStr">
        <is>
          <t>per bulan</t>
        </is>
      </c>
      <c r="D10" s="7" t="inlineStr">
        <is>
          <t>Formula dari file FOS</t>
        </is>
      </c>
    </row>
    <row r="11">
      <c r="A11" s="4" t="inlineStr">
        <is>
          <t>Churn merchant bulanan</t>
        </is>
      </c>
      <c r="B11" s="9" t="n">
        <v>0.15</v>
      </c>
      <c r="C11" s="6" t="inlineStr">
        <is>
          <t>per bulan</t>
        </is>
      </c>
      <c r="D11" s="7" t="inlineStr">
        <is>
          <t>Retention 85% dari file FOS; diartikan BULANAN (konfirmasi pengguna)</t>
        </is>
      </c>
    </row>
    <row r="12">
      <c r="A12" s="4" t="inlineStr">
        <is>
          <t>Plafon pasar K - Low (Bandung+Jakarta)</t>
        </is>
      </c>
      <c r="B12" s="10" t="n">
        <v>1500</v>
      </c>
      <c r="C12" s="6" t="inlineStr">
        <is>
          <t>merchant</t>
        </is>
      </c>
      <c r="D12" s="7" t="inlineStr">
        <is>
          <t>ASUMSI. SAM Jakarta belum tervalidasi (lihat sheet Sumber)</t>
        </is>
      </c>
    </row>
    <row r="13">
      <c r="A13" s="4" t="inlineStr">
        <is>
          <t>Plafon pasar K - Mid</t>
        </is>
      </c>
      <c r="B13" s="10" t="n">
        <v>3000</v>
      </c>
      <c r="C13" s="6" t="inlineStr">
        <is>
          <t>merchant</t>
        </is>
      </c>
      <c r="D13" s="7" t="inlineStr">
        <is>
          <t>ASUMSI. Sama seperti di atas</t>
        </is>
      </c>
    </row>
    <row r="14">
      <c r="A14" s="4" t="inlineStr">
        <is>
          <t>Plafon pasar K - High</t>
        </is>
      </c>
      <c r="B14" s="10" t="n">
        <v>5000</v>
      </c>
      <c r="C14" s="6" t="inlineStr">
        <is>
          <t>merchant</t>
        </is>
      </c>
      <c r="D14" s="7" t="inlineStr">
        <is>
          <t>ASUMSI. Sama seperti di atas</t>
        </is>
      </c>
    </row>
    <row r="15">
      <c r="A15" s="4" t="inlineStr">
        <is>
          <t>Skenario aktif untuk sheet BiayaRevenue (1=Low, 2=Mid, 3=High)</t>
        </is>
      </c>
      <c r="B15" s="11" t="n">
        <v>2</v>
      </c>
      <c r="C15" s="6" t="inlineStr">
        <is>
          <t>pilih 1-3</t>
        </is>
      </c>
      <c r="D15" s="7" t="inlineStr">
        <is>
          <t>Ubah angka ini untuk ganti skenario</t>
        </is>
      </c>
    </row>
    <row r="16">
      <c r="A16" s="4" t="inlineStr">
        <is>
          <t>Komposisi Starter</t>
        </is>
      </c>
      <c r="B16" s="12" t="n">
        <v>0.3</v>
      </c>
      <c r="C16" s="6" t="inlineStr"/>
      <c r="D16" s="7" t="inlineStr">
        <is>
          <t>File FOS, Pricing</t>
        </is>
      </c>
    </row>
    <row r="17">
      <c r="A17" s="4" t="inlineStr">
        <is>
          <t>Komposisi Professional</t>
        </is>
      </c>
      <c r="B17" s="12" t="n">
        <v>0.5</v>
      </c>
      <c r="C17" s="6" t="inlineStr"/>
      <c r="D17" s="7" t="inlineStr">
        <is>
          <t>File FOS, Pricing</t>
        </is>
      </c>
    </row>
    <row r="18">
      <c r="A18" s="4" t="inlineStr">
        <is>
          <t>Komposisi Enterprise</t>
        </is>
      </c>
      <c r="B18" s="12" t="n">
        <v>0.2</v>
      </c>
      <c r="C18" s="6" t="inlineStr"/>
      <c r="D18" s="7" t="inlineStr">
        <is>
          <t>File FOS, Pricing</t>
        </is>
      </c>
    </row>
    <row r="19">
      <c r="A19" s="4" t="inlineStr">
        <is>
          <t>Harga Starter</t>
        </is>
      </c>
      <c r="B19" s="13" t="n">
        <v>299000</v>
      </c>
      <c r="C19" s="6" t="inlineStr">
        <is>
          <t>per bulan</t>
        </is>
      </c>
      <c r="D19" s="7" t="inlineStr">
        <is>
          <t>File FOS, Pricing (not final)</t>
        </is>
      </c>
    </row>
    <row r="20">
      <c r="A20" s="4" t="inlineStr">
        <is>
          <t>Harga Professional</t>
        </is>
      </c>
      <c r="B20" s="13" t="n">
        <v>599000</v>
      </c>
      <c r="C20" s="6" t="inlineStr">
        <is>
          <t>per bulan</t>
        </is>
      </c>
      <c r="D20" s="7" t="inlineStr">
        <is>
          <t>File FOS, Pricing (not final)</t>
        </is>
      </c>
    </row>
    <row r="21">
      <c r="A21" s="4" t="inlineStr">
        <is>
          <t>Harga Enterprise</t>
        </is>
      </c>
      <c r="B21" s="13" t="n">
        <v>799000</v>
      </c>
      <c r="C21" s="6" t="inlineStr">
        <is>
          <t>per bulan</t>
        </is>
      </c>
      <c r="D21" s="7" t="inlineStr">
        <is>
          <t>File FOS, Pricing (not final)</t>
        </is>
      </c>
    </row>
    <row r="22">
      <c r="A22" s="4" t="inlineStr">
        <is>
          <t>Promotion purchase rate</t>
        </is>
      </c>
      <c r="B22" s="12" t="n">
        <v>0.3</v>
      </c>
      <c r="C22" s="6" t="inlineStr"/>
      <c r="D22" s="7" t="inlineStr">
        <is>
          <t>File FOS, Key Assumption</t>
        </is>
      </c>
    </row>
    <row r="23">
      <c r="A23" s="4" t="inlineStr">
        <is>
          <t>Unit impression per merchant yang beli promo (10.000 views / 1.000)</t>
        </is>
      </c>
      <c r="B23" s="14" t="n">
        <v>10</v>
      </c>
      <c r="C23" s="6" t="inlineStr">
        <is>
          <t>unit CPM</t>
        </is>
      </c>
      <c r="D23" s="7" t="inlineStr">
        <is>
          <t>File FOS: 10.000 views/bulan, konstan (tidak tumbuh)</t>
        </is>
      </c>
    </row>
    <row r="24">
      <c r="A24" s="4" t="inlineStr">
        <is>
          <t>Rata-rata biaya promosi (CPM)</t>
        </is>
      </c>
      <c r="B24" s="13" t="n">
        <v>16250</v>
      </c>
      <c r="C24" s="6" t="inlineStr">
        <is>
          <t>per 1.000 views</t>
        </is>
      </c>
      <c r="D24" s="7" t="inlineStr">
        <is>
          <t>File FOS, Avg. Promotion Cost</t>
        </is>
      </c>
    </row>
    <row r="25">
      <c r="A25" s="4" t="inlineStr">
        <is>
          <t>ARPM subscription</t>
        </is>
      </c>
      <c r="B25" s="15">
        <f>B16*B19+B17*B20+B18*B21</f>
        <v/>
      </c>
      <c r="C25" s="6" t="inlineStr">
        <is>
          <t>per merchant/bulan</t>
        </is>
      </c>
      <c r="D25" s="7" t="inlineStr">
        <is>
          <t>Formula; semua merchant dianggap bayar penuh</t>
        </is>
      </c>
    </row>
    <row r="26">
      <c r="A26" s="4" t="inlineStr">
        <is>
          <t>ARPM promosi</t>
        </is>
      </c>
      <c r="B26" s="15">
        <f>B22*B23*B24</f>
        <v/>
      </c>
      <c r="C26" s="6" t="inlineStr">
        <is>
          <t>per merchant/bulan</t>
        </is>
      </c>
      <c r="D26" s="7" t="inlineStr">
        <is>
          <t>Formula</t>
        </is>
      </c>
    </row>
    <row r="27">
      <c r="A27" s="4" t="inlineStr">
        <is>
          <t>ARPM total</t>
        </is>
      </c>
      <c r="B27" s="15">
        <f>B25+B26</f>
        <v/>
      </c>
      <c r="C27" s="6" t="inlineStr">
        <is>
          <t>per merchant/bulan</t>
        </is>
      </c>
      <c r="D27" s="7" t="inlineStr">
        <is>
          <t>Cocok dengan Rp597.750 di Revenue Model FOS</t>
        </is>
      </c>
    </row>
    <row r="28">
      <c r="A28" s="4" t="inlineStr">
        <is>
          <t>CAC merchant</t>
        </is>
      </c>
      <c r="B28" s="13" t="n">
        <v>200000</v>
      </c>
      <c r="C28" s="6" t="inlineStr">
        <is>
          <t>per merchant</t>
        </is>
      </c>
      <c r="D28" s="7" t="inlineStr">
        <is>
          <t>File FOS, Key Assumption</t>
        </is>
      </c>
    </row>
    <row r="29">
      <c r="A29" s="4" t="inlineStr">
        <is>
          <t>Kapasitas onboarding per sales</t>
        </is>
      </c>
      <c r="B29" s="10" t="n">
        <v>40</v>
      </c>
      <c r="C29" s="6" t="inlineStr">
        <is>
          <t>merchant/bulan</t>
        </is>
      </c>
      <c r="D29" s="7" t="inlineStr">
        <is>
          <t>Diturunkan dari CAC M12 Rp8 jt / Rp200 rb = 40 (hanya bukti kapasitas di file)</t>
        </is>
      </c>
    </row>
    <row r="30">
      <c r="A30" s="4" t="inlineStr">
        <is>
          <t>Gaji sales/marketer</t>
        </is>
      </c>
      <c r="B30" s="13" t="n">
        <v>10000000</v>
      </c>
      <c r="C30" s="6" t="inlineStr">
        <is>
          <t>per orang/bulan</t>
        </is>
      </c>
      <c r="D30" s="7" t="inlineStr">
        <is>
          <t>File FOS, Cost Structure</t>
        </is>
      </c>
    </row>
    <row r="31">
      <c r="A31" s="4" t="inlineStr">
        <is>
          <t>ARPM (Yr1) di tab KPI file FOS</t>
        </is>
      </c>
      <c r="B31" s="13" t="n">
        <v>699000</v>
      </c>
      <c r="C31" s="6" t="inlineStr">
        <is>
          <t>per bulan</t>
        </is>
      </c>
      <c r="D31" s="7" t="inlineStr">
        <is>
          <t>File FOS, KPI (tidak cocok dengan Revenue Model)</t>
        </is>
      </c>
    </row>
    <row r="32">
      <c r="A32" s="4" t="inlineStr">
        <is>
          <t>Est. LTV di tab KPI file FOS</t>
        </is>
      </c>
      <c r="B32" s="13" t="n">
        <v>12582000</v>
      </c>
      <c r="C32" s="6" t="inlineStr"/>
      <c r="D32" s="7" t="inlineStr">
        <is>
          <t>File FOS, KPI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  <col width="22" customWidth="1" min="8" max="8"/>
  </cols>
  <sheetData>
    <row r="1" ht="26" customHeight="1">
      <c r="A1" s="1" t="inlineStr">
        <is>
          <t>PROYEKSI MERCHANT Y2-Y5 (bulanan): Logistik vs Eksponensial (not final)</t>
        </is>
      </c>
    </row>
    <row r="2">
      <c r="A2" s="16" t="inlineStr">
        <is>
          <t>Plafon K</t>
        </is>
      </c>
      <c r="D2" s="17">
        <f>Input!$B$12</f>
        <v/>
      </c>
      <c r="E2" s="17">
        <f>Input!$B$13</f>
        <v/>
      </c>
      <c r="F2" s="17">
        <f>Input!$B$14</f>
        <v/>
      </c>
      <c r="G2" s="18" t="inlineStr">
        <is>
          <t>tanpa plafon</t>
        </is>
      </c>
      <c r="H2" s="18" t="inlineStr">
        <is>
          <t>tanpa plafon</t>
        </is>
      </c>
    </row>
    <row r="3">
      <c r="A3" s="19" t="inlineStr">
        <is>
          <t>Laju r (dikalibrasi agar growth bulan pertama = growth M12 Y1)</t>
        </is>
      </c>
      <c r="D3" s="20">
        <f>Input!$B$9/(1-Input!$B$8/D2)</f>
        <v/>
      </c>
      <c r="E3" s="20">
        <f>Input!$B$9/(1-Input!$B$8/E2)</f>
        <v/>
      </c>
      <c r="F3" s="20">
        <f>Input!$B$9/(1-Input!$B$8/F2)</f>
        <v/>
      </c>
      <c r="G3" s="21">
        <f>Input!$B$10</f>
        <v/>
      </c>
      <c r="H3" s="21">
        <f>Input!$B$9</f>
        <v/>
      </c>
    </row>
    <row r="5" ht="42" customHeight="1">
      <c r="A5" s="3" t="inlineStr">
        <is>
          <t>Year</t>
        </is>
      </c>
      <c r="B5" s="3" t="inlineStr">
        <is>
          <t>Bulan</t>
        </is>
      </c>
      <c r="C5" s="3" t="inlineStr">
        <is>
          <t>t (bln sejak Y1 M12)</t>
        </is>
      </c>
      <c r="D5" s="3" t="inlineStr">
        <is>
          <t>Logistik Low</t>
        </is>
      </c>
      <c r="E5" s="3" t="inlineStr">
        <is>
          <t>Logistik Mid</t>
        </is>
      </c>
      <c r="F5" s="3" t="inlineStr">
        <is>
          <t>Logistik High</t>
        </is>
      </c>
      <c r="G5" s="3" t="inlineStr">
        <is>
          <t>Eksponensial (growth rata-rata Y1)</t>
        </is>
      </c>
      <c r="H5" s="3" t="inlineStr">
        <is>
          <t>Eksponensial (growth M12 Y1)</t>
        </is>
      </c>
    </row>
    <row r="6">
      <c r="A6" s="22" t="n">
        <v>1</v>
      </c>
      <c r="B6" s="22" t="n">
        <v>12</v>
      </c>
      <c r="C6" s="22" t="n">
        <v>0</v>
      </c>
      <c r="D6" s="17">
        <f>Input!$B$8</f>
        <v/>
      </c>
      <c r="E6" s="17">
        <f>Input!$B$8</f>
        <v/>
      </c>
      <c r="F6" s="17">
        <f>Input!$B$8</f>
        <v/>
      </c>
      <c r="G6" s="17">
        <f>Input!$B$8</f>
        <v/>
      </c>
      <c r="H6" s="17">
        <f>Input!$B$8</f>
        <v/>
      </c>
    </row>
    <row r="7">
      <c r="A7" s="22">
        <f>INT((C7-1)/12)+2</f>
        <v/>
      </c>
      <c r="B7" s="22">
        <f>MOD(C7-1,12)+1</f>
        <v/>
      </c>
      <c r="C7" s="22" t="n">
        <v>1</v>
      </c>
      <c r="D7" s="23">
        <f>D6+D$3*D6*(1-D6/D$2)</f>
        <v/>
      </c>
      <c r="E7" s="23">
        <f>E6+E$3*E6*(1-E6/E$2)</f>
        <v/>
      </c>
      <c r="F7" s="23">
        <f>F6+F$3*F6*(1-F6/F$2)</f>
        <v/>
      </c>
      <c r="G7" s="23">
        <f>G6*(1+G$3)</f>
        <v/>
      </c>
      <c r="H7" s="23">
        <f>H6*(1+H$3)</f>
        <v/>
      </c>
    </row>
    <row r="8">
      <c r="A8" s="22">
        <f>INT((C8-1)/12)+2</f>
        <v/>
      </c>
      <c r="B8" s="22">
        <f>MOD(C8-1,12)+1</f>
        <v/>
      </c>
      <c r="C8" s="22" t="n">
        <v>2</v>
      </c>
      <c r="D8" s="23">
        <f>D7+D$3*D7*(1-D7/D$2)</f>
        <v/>
      </c>
      <c r="E8" s="23">
        <f>E7+E$3*E7*(1-E7/E$2)</f>
        <v/>
      </c>
      <c r="F8" s="23">
        <f>F7+F$3*F7*(1-F7/F$2)</f>
        <v/>
      </c>
      <c r="G8" s="23">
        <f>G7*(1+G$3)</f>
        <v/>
      </c>
      <c r="H8" s="23">
        <f>H7*(1+H$3)</f>
        <v/>
      </c>
    </row>
    <row r="9">
      <c r="A9" s="22">
        <f>INT((C9-1)/12)+2</f>
        <v/>
      </c>
      <c r="B9" s="22">
        <f>MOD(C9-1,12)+1</f>
        <v/>
      </c>
      <c r="C9" s="22" t="n">
        <v>3</v>
      </c>
      <c r="D9" s="23">
        <f>D8+D$3*D8*(1-D8/D$2)</f>
        <v/>
      </c>
      <c r="E9" s="23">
        <f>E8+E$3*E8*(1-E8/E$2)</f>
        <v/>
      </c>
      <c r="F9" s="23">
        <f>F8+F$3*F8*(1-F8/F$2)</f>
        <v/>
      </c>
      <c r="G9" s="23">
        <f>G8*(1+G$3)</f>
        <v/>
      </c>
      <c r="H9" s="23">
        <f>H8*(1+H$3)</f>
        <v/>
      </c>
    </row>
    <row r="10">
      <c r="A10" s="22">
        <f>INT((C10-1)/12)+2</f>
        <v/>
      </c>
      <c r="B10" s="22">
        <f>MOD(C10-1,12)+1</f>
        <v/>
      </c>
      <c r="C10" s="22" t="n">
        <v>4</v>
      </c>
      <c r="D10" s="23">
        <f>D9+D$3*D9*(1-D9/D$2)</f>
        <v/>
      </c>
      <c r="E10" s="23">
        <f>E9+E$3*E9*(1-E9/E$2)</f>
        <v/>
      </c>
      <c r="F10" s="23">
        <f>F9+F$3*F9*(1-F9/F$2)</f>
        <v/>
      </c>
      <c r="G10" s="23">
        <f>G9*(1+G$3)</f>
        <v/>
      </c>
      <c r="H10" s="23">
        <f>H9*(1+H$3)</f>
        <v/>
      </c>
    </row>
    <row r="11">
      <c r="A11" s="22">
        <f>INT((C11-1)/12)+2</f>
        <v/>
      </c>
      <c r="B11" s="22">
        <f>MOD(C11-1,12)+1</f>
        <v/>
      </c>
      <c r="C11" s="22" t="n">
        <v>5</v>
      </c>
      <c r="D11" s="23">
        <f>D10+D$3*D10*(1-D10/D$2)</f>
        <v/>
      </c>
      <c r="E11" s="23">
        <f>E10+E$3*E10*(1-E10/E$2)</f>
        <v/>
      </c>
      <c r="F11" s="23">
        <f>F10+F$3*F10*(1-F10/F$2)</f>
        <v/>
      </c>
      <c r="G11" s="23">
        <f>G10*(1+G$3)</f>
        <v/>
      </c>
      <c r="H11" s="23">
        <f>H10*(1+H$3)</f>
        <v/>
      </c>
    </row>
    <row r="12">
      <c r="A12" s="22">
        <f>INT((C12-1)/12)+2</f>
        <v/>
      </c>
      <c r="B12" s="22">
        <f>MOD(C12-1,12)+1</f>
        <v/>
      </c>
      <c r="C12" s="22" t="n">
        <v>6</v>
      </c>
      <c r="D12" s="23">
        <f>D11+D$3*D11*(1-D11/D$2)</f>
        <v/>
      </c>
      <c r="E12" s="23">
        <f>E11+E$3*E11*(1-E11/E$2)</f>
        <v/>
      </c>
      <c r="F12" s="23">
        <f>F11+F$3*F11*(1-F11/F$2)</f>
        <v/>
      </c>
      <c r="G12" s="23">
        <f>G11*(1+G$3)</f>
        <v/>
      </c>
      <c r="H12" s="23">
        <f>H11*(1+H$3)</f>
        <v/>
      </c>
    </row>
    <row r="13">
      <c r="A13" s="22">
        <f>INT((C13-1)/12)+2</f>
        <v/>
      </c>
      <c r="B13" s="22">
        <f>MOD(C13-1,12)+1</f>
        <v/>
      </c>
      <c r="C13" s="22" t="n">
        <v>7</v>
      </c>
      <c r="D13" s="23">
        <f>D12+D$3*D12*(1-D12/D$2)</f>
        <v/>
      </c>
      <c r="E13" s="23">
        <f>E12+E$3*E12*(1-E12/E$2)</f>
        <v/>
      </c>
      <c r="F13" s="23">
        <f>F12+F$3*F12*(1-F12/F$2)</f>
        <v/>
      </c>
      <c r="G13" s="23">
        <f>G12*(1+G$3)</f>
        <v/>
      </c>
      <c r="H13" s="23">
        <f>H12*(1+H$3)</f>
        <v/>
      </c>
    </row>
    <row r="14">
      <c r="A14" s="22">
        <f>INT((C14-1)/12)+2</f>
        <v/>
      </c>
      <c r="B14" s="22">
        <f>MOD(C14-1,12)+1</f>
        <v/>
      </c>
      <c r="C14" s="22" t="n">
        <v>8</v>
      </c>
      <c r="D14" s="23">
        <f>D13+D$3*D13*(1-D13/D$2)</f>
        <v/>
      </c>
      <c r="E14" s="23">
        <f>E13+E$3*E13*(1-E13/E$2)</f>
        <v/>
      </c>
      <c r="F14" s="23">
        <f>F13+F$3*F13*(1-F13/F$2)</f>
        <v/>
      </c>
      <c r="G14" s="23">
        <f>G13*(1+G$3)</f>
        <v/>
      </c>
      <c r="H14" s="23">
        <f>H13*(1+H$3)</f>
        <v/>
      </c>
    </row>
    <row r="15">
      <c r="A15" s="22">
        <f>INT((C15-1)/12)+2</f>
        <v/>
      </c>
      <c r="B15" s="22">
        <f>MOD(C15-1,12)+1</f>
        <v/>
      </c>
      <c r="C15" s="22" t="n">
        <v>9</v>
      </c>
      <c r="D15" s="23">
        <f>D14+D$3*D14*(1-D14/D$2)</f>
        <v/>
      </c>
      <c r="E15" s="23">
        <f>E14+E$3*E14*(1-E14/E$2)</f>
        <v/>
      </c>
      <c r="F15" s="23">
        <f>F14+F$3*F14*(1-F14/F$2)</f>
        <v/>
      </c>
      <c r="G15" s="23">
        <f>G14*(1+G$3)</f>
        <v/>
      </c>
      <c r="H15" s="23">
        <f>H14*(1+H$3)</f>
        <v/>
      </c>
    </row>
    <row r="16">
      <c r="A16" s="22">
        <f>INT((C16-1)/12)+2</f>
        <v/>
      </c>
      <c r="B16" s="22">
        <f>MOD(C16-1,12)+1</f>
        <v/>
      </c>
      <c r="C16" s="22" t="n">
        <v>10</v>
      </c>
      <c r="D16" s="23">
        <f>D15+D$3*D15*(1-D15/D$2)</f>
        <v/>
      </c>
      <c r="E16" s="23">
        <f>E15+E$3*E15*(1-E15/E$2)</f>
        <v/>
      </c>
      <c r="F16" s="23">
        <f>F15+F$3*F15*(1-F15/F$2)</f>
        <v/>
      </c>
      <c r="G16" s="23">
        <f>G15*(1+G$3)</f>
        <v/>
      </c>
      <c r="H16" s="23">
        <f>H15*(1+H$3)</f>
        <v/>
      </c>
    </row>
    <row r="17">
      <c r="A17" s="22">
        <f>INT((C17-1)/12)+2</f>
        <v/>
      </c>
      <c r="B17" s="22">
        <f>MOD(C17-1,12)+1</f>
        <v/>
      </c>
      <c r="C17" s="22" t="n">
        <v>11</v>
      </c>
      <c r="D17" s="23">
        <f>D16+D$3*D16*(1-D16/D$2)</f>
        <v/>
      </c>
      <c r="E17" s="23">
        <f>E16+E$3*E16*(1-E16/E$2)</f>
        <v/>
      </c>
      <c r="F17" s="23">
        <f>F16+F$3*F16*(1-F16/F$2)</f>
        <v/>
      </c>
      <c r="G17" s="23">
        <f>G16*(1+G$3)</f>
        <v/>
      </c>
      <c r="H17" s="23">
        <f>H16*(1+H$3)</f>
        <v/>
      </c>
    </row>
    <row r="18">
      <c r="A18" s="22">
        <f>INT((C18-1)/12)+2</f>
        <v/>
      </c>
      <c r="B18" s="22">
        <f>MOD(C18-1,12)+1</f>
        <v/>
      </c>
      <c r="C18" s="22" t="n">
        <v>12</v>
      </c>
      <c r="D18" s="23">
        <f>D17+D$3*D17*(1-D17/D$2)</f>
        <v/>
      </c>
      <c r="E18" s="23">
        <f>E17+E$3*E17*(1-E17/E$2)</f>
        <v/>
      </c>
      <c r="F18" s="23">
        <f>F17+F$3*F17*(1-F17/F$2)</f>
        <v/>
      </c>
      <c r="G18" s="23">
        <f>G17*(1+G$3)</f>
        <v/>
      </c>
      <c r="H18" s="23">
        <f>H17*(1+H$3)</f>
        <v/>
      </c>
    </row>
    <row r="19">
      <c r="A19" s="22">
        <f>INT((C19-1)/12)+2</f>
        <v/>
      </c>
      <c r="B19" s="22">
        <f>MOD(C19-1,12)+1</f>
        <v/>
      </c>
      <c r="C19" s="22" t="n">
        <v>13</v>
      </c>
      <c r="D19" s="23">
        <f>D18+D$3*D18*(1-D18/D$2)</f>
        <v/>
      </c>
      <c r="E19" s="23">
        <f>E18+E$3*E18*(1-E18/E$2)</f>
        <v/>
      </c>
      <c r="F19" s="23">
        <f>F18+F$3*F18*(1-F18/F$2)</f>
        <v/>
      </c>
      <c r="G19" s="23">
        <f>G18*(1+G$3)</f>
        <v/>
      </c>
      <c r="H19" s="23">
        <f>H18*(1+H$3)</f>
        <v/>
      </c>
    </row>
    <row r="20">
      <c r="A20" s="22">
        <f>INT((C20-1)/12)+2</f>
        <v/>
      </c>
      <c r="B20" s="22">
        <f>MOD(C20-1,12)+1</f>
        <v/>
      </c>
      <c r="C20" s="22" t="n">
        <v>14</v>
      </c>
      <c r="D20" s="23">
        <f>D19+D$3*D19*(1-D19/D$2)</f>
        <v/>
      </c>
      <c r="E20" s="23">
        <f>E19+E$3*E19*(1-E19/E$2)</f>
        <v/>
      </c>
      <c r="F20" s="23">
        <f>F19+F$3*F19*(1-F19/F$2)</f>
        <v/>
      </c>
      <c r="G20" s="23">
        <f>G19*(1+G$3)</f>
        <v/>
      </c>
      <c r="H20" s="23">
        <f>H19*(1+H$3)</f>
        <v/>
      </c>
    </row>
    <row r="21">
      <c r="A21" s="22">
        <f>INT((C21-1)/12)+2</f>
        <v/>
      </c>
      <c r="B21" s="22">
        <f>MOD(C21-1,12)+1</f>
        <v/>
      </c>
      <c r="C21" s="22" t="n">
        <v>15</v>
      </c>
      <c r="D21" s="23">
        <f>D20+D$3*D20*(1-D20/D$2)</f>
        <v/>
      </c>
      <c r="E21" s="23">
        <f>E20+E$3*E20*(1-E20/E$2)</f>
        <v/>
      </c>
      <c r="F21" s="23">
        <f>F20+F$3*F20*(1-F20/F$2)</f>
        <v/>
      </c>
      <c r="G21" s="23">
        <f>G20*(1+G$3)</f>
        <v/>
      </c>
      <c r="H21" s="23">
        <f>H20*(1+H$3)</f>
        <v/>
      </c>
    </row>
    <row r="22">
      <c r="A22" s="22">
        <f>INT((C22-1)/12)+2</f>
        <v/>
      </c>
      <c r="B22" s="22">
        <f>MOD(C22-1,12)+1</f>
        <v/>
      </c>
      <c r="C22" s="22" t="n">
        <v>16</v>
      </c>
      <c r="D22" s="23">
        <f>D21+D$3*D21*(1-D21/D$2)</f>
        <v/>
      </c>
      <c r="E22" s="23">
        <f>E21+E$3*E21*(1-E21/E$2)</f>
        <v/>
      </c>
      <c r="F22" s="23">
        <f>F21+F$3*F21*(1-F21/F$2)</f>
        <v/>
      </c>
      <c r="G22" s="23">
        <f>G21*(1+G$3)</f>
        <v/>
      </c>
      <c r="H22" s="23">
        <f>H21*(1+H$3)</f>
        <v/>
      </c>
    </row>
    <row r="23">
      <c r="A23" s="22">
        <f>INT((C23-1)/12)+2</f>
        <v/>
      </c>
      <c r="B23" s="22">
        <f>MOD(C23-1,12)+1</f>
        <v/>
      </c>
      <c r="C23" s="22" t="n">
        <v>17</v>
      </c>
      <c r="D23" s="23">
        <f>D22+D$3*D22*(1-D22/D$2)</f>
        <v/>
      </c>
      <c r="E23" s="23">
        <f>E22+E$3*E22*(1-E22/E$2)</f>
        <v/>
      </c>
      <c r="F23" s="23">
        <f>F22+F$3*F22*(1-F22/F$2)</f>
        <v/>
      </c>
      <c r="G23" s="23">
        <f>G22*(1+G$3)</f>
        <v/>
      </c>
      <c r="H23" s="23">
        <f>H22*(1+H$3)</f>
        <v/>
      </c>
    </row>
    <row r="24">
      <c r="A24" s="22">
        <f>INT((C24-1)/12)+2</f>
        <v/>
      </c>
      <c r="B24" s="22">
        <f>MOD(C24-1,12)+1</f>
        <v/>
      </c>
      <c r="C24" s="22" t="n">
        <v>18</v>
      </c>
      <c r="D24" s="23">
        <f>D23+D$3*D23*(1-D23/D$2)</f>
        <v/>
      </c>
      <c r="E24" s="23">
        <f>E23+E$3*E23*(1-E23/E$2)</f>
        <v/>
      </c>
      <c r="F24" s="23">
        <f>F23+F$3*F23*(1-F23/F$2)</f>
        <v/>
      </c>
      <c r="G24" s="23">
        <f>G23*(1+G$3)</f>
        <v/>
      </c>
      <c r="H24" s="23">
        <f>H23*(1+H$3)</f>
        <v/>
      </c>
    </row>
    <row r="25">
      <c r="A25" s="22">
        <f>INT((C25-1)/12)+2</f>
        <v/>
      </c>
      <c r="B25" s="22">
        <f>MOD(C25-1,12)+1</f>
        <v/>
      </c>
      <c r="C25" s="22" t="n">
        <v>19</v>
      </c>
      <c r="D25" s="23">
        <f>D24+D$3*D24*(1-D24/D$2)</f>
        <v/>
      </c>
      <c r="E25" s="23">
        <f>E24+E$3*E24*(1-E24/E$2)</f>
        <v/>
      </c>
      <c r="F25" s="23">
        <f>F24+F$3*F24*(1-F24/F$2)</f>
        <v/>
      </c>
      <c r="G25" s="23">
        <f>G24*(1+G$3)</f>
        <v/>
      </c>
      <c r="H25" s="23">
        <f>H24*(1+H$3)</f>
        <v/>
      </c>
    </row>
    <row r="26">
      <c r="A26" s="22">
        <f>INT((C26-1)/12)+2</f>
        <v/>
      </c>
      <c r="B26" s="22">
        <f>MOD(C26-1,12)+1</f>
        <v/>
      </c>
      <c r="C26" s="22" t="n">
        <v>20</v>
      </c>
      <c r="D26" s="23">
        <f>D25+D$3*D25*(1-D25/D$2)</f>
        <v/>
      </c>
      <c r="E26" s="23">
        <f>E25+E$3*E25*(1-E25/E$2)</f>
        <v/>
      </c>
      <c r="F26" s="23">
        <f>F25+F$3*F25*(1-F25/F$2)</f>
        <v/>
      </c>
      <c r="G26" s="23">
        <f>G25*(1+G$3)</f>
        <v/>
      </c>
      <c r="H26" s="23">
        <f>H25*(1+H$3)</f>
        <v/>
      </c>
    </row>
    <row r="27">
      <c r="A27" s="22">
        <f>INT((C27-1)/12)+2</f>
        <v/>
      </c>
      <c r="B27" s="22">
        <f>MOD(C27-1,12)+1</f>
        <v/>
      </c>
      <c r="C27" s="22" t="n">
        <v>21</v>
      </c>
      <c r="D27" s="23">
        <f>D26+D$3*D26*(1-D26/D$2)</f>
        <v/>
      </c>
      <c r="E27" s="23">
        <f>E26+E$3*E26*(1-E26/E$2)</f>
        <v/>
      </c>
      <c r="F27" s="23">
        <f>F26+F$3*F26*(1-F26/F$2)</f>
        <v/>
      </c>
      <c r="G27" s="23">
        <f>G26*(1+G$3)</f>
        <v/>
      </c>
      <c r="H27" s="23">
        <f>H26*(1+H$3)</f>
        <v/>
      </c>
    </row>
    <row r="28">
      <c r="A28" s="22">
        <f>INT((C28-1)/12)+2</f>
        <v/>
      </c>
      <c r="B28" s="22">
        <f>MOD(C28-1,12)+1</f>
        <v/>
      </c>
      <c r="C28" s="22" t="n">
        <v>22</v>
      </c>
      <c r="D28" s="23">
        <f>D27+D$3*D27*(1-D27/D$2)</f>
        <v/>
      </c>
      <c r="E28" s="23">
        <f>E27+E$3*E27*(1-E27/E$2)</f>
        <v/>
      </c>
      <c r="F28" s="23">
        <f>F27+F$3*F27*(1-F27/F$2)</f>
        <v/>
      </c>
      <c r="G28" s="23">
        <f>G27*(1+G$3)</f>
        <v/>
      </c>
      <c r="H28" s="23">
        <f>H27*(1+H$3)</f>
        <v/>
      </c>
    </row>
    <row r="29">
      <c r="A29" s="22">
        <f>INT((C29-1)/12)+2</f>
        <v/>
      </c>
      <c r="B29" s="22">
        <f>MOD(C29-1,12)+1</f>
        <v/>
      </c>
      <c r="C29" s="22" t="n">
        <v>23</v>
      </c>
      <c r="D29" s="23">
        <f>D28+D$3*D28*(1-D28/D$2)</f>
        <v/>
      </c>
      <c r="E29" s="23">
        <f>E28+E$3*E28*(1-E28/E$2)</f>
        <v/>
      </c>
      <c r="F29" s="23">
        <f>F28+F$3*F28*(1-F28/F$2)</f>
        <v/>
      </c>
      <c r="G29" s="23">
        <f>G28*(1+G$3)</f>
        <v/>
      </c>
      <c r="H29" s="23">
        <f>H28*(1+H$3)</f>
        <v/>
      </c>
    </row>
    <row r="30">
      <c r="A30" s="22">
        <f>INT((C30-1)/12)+2</f>
        <v/>
      </c>
      <c r="B30" s="22">
        <f>MOD(C30-1,12)+1</f>
        <v/>
      </c>
      <c r="C30" s="22" t="n">
        <v>24</v>
      </c>
      <c r="D30" s="23">
        <f>D29+D$3*D29*(1-D29/D$2)</f>
        <v/>
      </c>
      <c r="E30" s="23">
        <f>E29+E$3*E29*(1-E29/E$2)</f>
        <v/>
      </c>
      <c r="F30" s="23">
        <f>F29+F$3*F29*(1-F29/F$2)</f>
        <v/>
      </c>
      <c r="G30" s="23">
        <f>G29*(1+G$3)</f>
        <v/>
      </c>
      <c r="H30" s="23">
        <f>H29*(1+H$3)</f>
        <v/>
      </c>
    </row>
    <row r="31">
      <c r="A31" s="22">
        <f>INT((C31-1)/12)+2</f>
        <v/>
      </c>
      <c r="B31" s="22">
        <f>MOD(C31-1,12)+1</f>
        <v/>
      </c>
      <c r="C31" s="22" t="n">
        <v>25</v>
      </c>
      <c r="D31" s="23">
        <f>D30+D$3*D30*(1-D30/D$2)</f>
        <v/>
      </c>
      <c r="E31" s="23">
        <f>E30+E$3*E30*(1-E30/E$2)</f>
        <v/>
      </c>
      <c r="F31" s="23">
        <f>F30+F$3*F30*(1-F30/F$2)</f>
        <v/>
      </c>
      <c r="G31" s="23">
        <f>G30*(1+G$3)</f>
        <v/>
      </c>
      <c r="H31" s="23">
        <f>H30*(1+H$3)</f>
        <v/>
      </c>
    </row>
    <row r="32">
      <c r="A32" s="22">
        <f>INT((C32-1)/12)+2</f>
        <v/>
      </c>
      <c r="B32" s="22">
        <f>MOD(C32-1,12)+1</f>
        <v/>
      </c>
      <c r="C32" s="22" t="n">
        <v>26</v>
      </c>
      <c r="D32" s="23">
        <f>D31+D$3*D31*(1-D31/D$2)</f>
        <v/>
      </c>
      <c r="E32" s="23">
        <f>E31+E$3*E31*(1-E31/E$2)</f>
        <v/>
      </c>
      <c r="F32" s="23">
        <f>F31+F$3*F31*(1-F31/F$2)</f>
        <v/>
      </c>
      <c r="G32" s="23">
        <f>G31*(1+G$3)</f>
        <v/>
      </c>
      <c r="H32" s="23">
        <f>H31*(1+H$3)</f>
        <v/>
      </c>
    </row>
    <row r="33">
      <c r="A33" s="22">
        <f>INT((C33-1)/12)+2</f>
        <v/>
      </c>
      <c r="B33" s="22">
        <f>MOD(C33-1,12)+1</f>
        <v/>
      </c>
      <c r="C33" s="22" t="n">
        <v>27</v>
      </c>
      <c r="D33" s="23">
        <f>D32+D$3*D32*(1-D32/D$2)</f>
        <v/>
      </c>
      <c r="E33" s="23">
        <f>E32+E$3*E32*(1-E32/E$2)</f>
        <v/>
      </c>
      <c r="F33" s="23">
        <f>F32+F$3*F32*(1-F32/F$2)</f>
        <v/>
      </c>
      <c r="G33" s="23">
        <f>G32*(1+G$3)</f>
        <v/>
      </c>
      <c r="H33" s="23">
        <f>H32*(1+H$3)</f>
        <v/>
      </c>
    </row>
    <row r="34">
      <c r="A34" s="22">
        <f>INT((C34-1)/12)+2</f>
        <v/>
      </c>
      <c r="B34" s="22">
        <f>MOD(C34-1,12)+1</f>
        <v/>
      </c>
      <c r="C34" s="22" t="n">
        <v>28</v>
      </c>
      <c r="D34" s="23">
        <f>D33+D$3*D33*(1-D33/D$2)</f>
        <v/>
      </c>
      <c r="E34" s="23">
        <f>E33+E$3*E33*(1-E33/E$2)</f>
        <v/>
      </c>
      <c r="F34" s="23">
        <f>F33+F$3*F33*(1-F33/F$2)</f>
        <v/>
      </c>
      <c r="G34" s="23">
        <f>G33*(1+G$3)</f>
        <v/>
      </c>
      <c r="H34" s="23">
        <f>H33*(1+H$3)</f>
        <v/>
      </c>
    </row>
    <row r="35">
      <c r="A35" s="22">
        <f>INT((C35-1)/12)+2</f>
        <v/>
      </c>
      <c r="B35" s="22">
        <f>MOD(C35-1,12)+1</f>
        <v/>
      </c>
      <c r="C35" s="22" t="n">
        <v>29</v>
      </c>
      <c r="D35" s="23">
        <f>D34+D$3*D34*(1-D34/D$2)</f>
        <v/>
      </c>
      <c r="E35" s="23">
        <f>E34+E$3*E34*(1-E34/E$2)</f>
        <v/>
      </c>
      <c r="F35" s="23">
        <f>F34+F$3*F34*(1-F34/F$2)</f>
        <v/>
      </c>
      <c r="G35" s="23">
        <f>G34*(1+G$3)</f>
        <v/>
      </c>
      <c r="H35" s="23">
        <f>H34*(1+H$3)</f>
        <v/>
      </c>
    </row>
    <row r="36">
      <c r="A36" s="22">
        <f>INT((C36-1)/12)+2</f>
        <v/>
      </c>
      <c r="B36" s="22">
        <f>MOD(C36-1,12)+1</f>
        <v/>
      </c>
      <c r="C36" s="22" t="n">
        <v>30</v>
      </c>
      <c r="D36" s="23">
        <f>D35+D$3*D35*(1-D35/D$2)</f>
        <v/>
      </c>
      <c r="E36" s="23">
        <f>E35+E$3*E35*(1-E35/E$2)</f>
        <v/>
      </c>
      <c r="F36" s="23">
        <f>F35+F$3*F35*(1-F35/F$2)</f>
        <v/>
      </c>
      <c r="G36" s="23">
        <f>G35*(1+G$3)</f>
        <v/>
      </c>
      <c r="H36" s="23">
        <f>H35*(1+H$3)</f>
        <v/>
      </c>
    </row>
    <row r="37">
      <c r="A37" s="22">
        <f>INT((C37-1)/12)+2</f>
        <v/>
      </c>
      <c r="B37" s="22">
        <f>MOD(C37-1,12)+1</f>
        <v/>
      </c>
      <c r="C37" s="22" t="n">
        <v>31</v>
      </c>
      <c r="D37" s="23">
        <f>D36+D$3*D36*(1-D36/D$2)</f>
        <v/>
      </c>
      <c r="E37" s="23">
        <f>E36+E$3*E36*(1-E36/E$2)</f>
        <v/>
      </c>
      <c r="F37" s="23">
        <f>F36+F$3*F36*(1-F36/F$2)</f>
        <v/>
      </c>
      <c r="G37" s="23">
        <f>G36*(1+G$3)</f>
        <v/>
      </c>
      <c r="H37" s="23">
        <f>H36*(1+H$3)</f>
        <v/>
      </c>
    </row>
    <row r="38">
      <c r="A38" s="22">
        <f>INT((C38-1)/12)+2</f>
        <v/>
      </c>
      <c r="B38" s="22">
        <f>MOD(C38-1,12)+1</f>
        <v/>
      </c>
      <c r="C38" s="22" t="n">
        <v>32</v>
      </c>
      <c r="D38" s="23">
        <f>D37+D$3*D37*(1-D37/D$2)</f>
        <v/>
      </c>
      <c r="E38" s="23">
        <f>E37+E$3*E37*(1-E37/E$2)</f>
        <v/>
      </c>
      <c r="F38" s="23">
        <f>F37+F$3*F37*(1-F37/F$2)</f>
        <v/>
      </c>
      <c r="G38" s="23">
        <f>G37*(1+G$3)</f>
        <v/>
      </c>
      <c r="H38" s="23">
        <f>H37*(1+H$3)</f>
        <v/>
      </c>
    </row>
    <row r="39">
      <c r="A39" s="22">
        <f>INT((C39-1)/12)+2</f>
        <v/>
      </c>
      <c r="B39" s="22">
        <f>MOD(C39-1,12)+1</f>
        <v/>
      </c>
      <c r="C39" s="22" t="n">
        <v>33</v>
      </c>
      <c r="D39" s="23">
        <f>D38+D$3*D38*(1-D38/D$2)</f>
        <v/>
      </c>
      <c r="E39" s="23">
        <f>E38+E$3*E38*(1-E38/E$2)</f>
        <v/>
      </c>
      <c r="F39" s="23">
        <f>F38+F$3*F38*(1-F38/F$2)</f>
        <v/>
      </c>
      <c r="G39" s="23">
        <f>G38*(1+G$3)</f>
        <v/>
      </c>
      <c r="H39" s="23">
        <f>H38*(1+H$3)</f>
        <v/>
      </c>
    </row>
    <row r="40">
      <c r="A40" s="22">
        <f>INT((C40-1)/12)+2</f>
        <v/>
      </c>
      <c r="B40" s="22">
        <f>MOD(C40-1,12)+1</f>
        <v/>
      </c>
      <c r="C40" s="22" t="n">
        <v>34</v>
      </c>
      <c r="D40" s="23">
        <f>D39+D$3*D39*(1-D39/D$2)</f>
        <v/>
      </c>
      <c r="E40" s="23">
        <f>E39+E$3*E39*(1-E39/E$2)</f>
        <v/>
      </c>
      <c r="F40" s="23">
        <f>F39+F$3*F39*(1-F39/F$2)</f>
        <v/>
      </c>
      <c r="G40" s="23">
        <f>G39*(1+G$3)</f>
        <v/>
      </c>
      <c r="H40" s="23">
        <f>H39*(1+H$3)</f>
        <v/>
      </c>
    </row>
    <row r="41">
      <c r="A41" s="22">
        <f>INT((C41-1)/12)+2</f>
        <v/>
      </c>
      <c r="B41" s="22">
        <f>MOD(C41-1,12)+1</f>
        <v/>
      </c>
      <c r="C41" s="22" t="n">
        <v>35</v>
      </c>
      <c r="D41" s="23">
        <f>D40+D$3*D40*(1-D40/D$2)</f>
        <v/>
      </c>
      <c r="E41" s="23">
        <f>E40+E$3*E40*(1-E40/E$2)</f>
        <v/>
      </c>
      <c r="F41" s="23">
        <f>F40+F$3*F40*(1-F40/F$2)</f>
        <v/>
      </c>
      <c r="G41" s="23">
        <f>G40*(1+G$3)</f>
        <v/>
      </c>
      <c r="H41" s="23">
        <f>H40*(1+H$3)</f>
        <v/>
      </c>
    </row>
    <row r="42">
      <c r="A42" s="22">
        <f>INT((C42-1)/12)+2</f>
        <v/>
      </c>
      <c r="B42" s="22">
        <f>MOD(C42-1,12)+1</f>
        <v/>
      </c>
      <c r="C42" s="22" t="n">
        <v>36</v>
      </c>
      <c r="D42" s="23">
        <f>D41+D$3*D41*(1-D41/D$2)</f>
        <v/>
      </c>
      <c r="E42" s="23">
        <f>E41+E$3*E41*(1-E41/E$2)</f>
        <v/>
      </c>
      <c r="F42" s="23">
        <f>F41+F$3*F41*(1-F41/F$2)</f>
        <v/>
      </c>
      <c r="G42" s="23">
        <f>G41*(1+G$3)</f>
        <v/>
      </c>
      <c r="H42" s="23">
        <f>H41*(1+H$3)</f>
        <v/>
      </c>
    </row>
    <row r="43">
      <c r="A43" s="22">
        <f>INT((C43-1)/12)+2</f>
        <v/>
      </c>
      <c r="B43" s="22">
        <f>MOD(C43-1,12)+1</f>
        <v/>
      </c>
      <c r="C43" s="22" t="n">
        <v>37</v>
      </c>
      <c r="D43" s="23">
        <f>D42+D$3*D42*(1-D42/D$2)</f>
        <v/>
      </c>
      <c r="E43" s="23">
        <f>E42+E$3*E42*(1-E42/E$2)</f>
        <v/>
      </c>
      <c r="F43" s="23">
        <f>F42+F$3*F42*(1-F42/F$2)</f>
        <v/>
      </c>
      <c r="G43" s="23">
        <f>G42*(1+G$3)</f>
        <v/>
      </c>
      <c r="H43" s="23">
        <f>H42*(1+H$3)</f>
        <v/>
      </c>
    </row>
    <row r="44">
      <c r="A44" s="22">
        <f>INT((C44-1)/12)+2</f>
        <v/>
      </c>
      <c r="B44" s="22">
        <f>MOD(C44-1,12)+1</f>
        <v/>
      </c>
      <c r="C44" s="22" t="n">
        <v>38</v>
      </c>
      <c r="D44" s="23">
        <f>D43+D$3*D43*(1-D43/D$2)</f>
        <v/>
      </c>
      <c r="E44" s="23">
        <f>E43+E$3*E43*(1-E43/E$2)</f>
        <v/>
      </c>
      <c r="F44" s="23">
        <f>F43+F$3*F43*(1-F43/F$2)</f>
        <v/>
      </c>
      <c r="G44" s="23">
        <f>G43*(1+G$3)</f>
        <v/>
      </c>
      <c r="H44" s="23">
        <f>H43*(1+H$3)</f>
        <v/>
      </c>
    </row>
    <row r="45">
      <c r="A45" s="22">
        <f>INT((C45-1)/12)+2</f>
        <v/>
      </c>
      <c r="B45" s="22">
        <f>MOD(C45-1,12)+1</f>
        <v/>
      </c>
      <c r="C45" s="22" t="n">
        <v>39</v>
      </c>
      <c r="D45" s="23">
        <f>D44+D$3*D44*(1-D44/D$2)</f>
        <v/>
      </c>
      <c r="E45" s="23">
        <f>E44+E$3*E44*(1-E44/E$2)</f>
        <v/>
      </c>
      <c r="F45" s="23">
        <f>F44+F$3*F44*(1-F44/F$2)</f>
        <v/>
      </c>
      <c r="G45" s="23">
        <f>G44*(1+G$3)</f>
        <v/>
      </c>
      <c r="H45" s="23">
        <f>H44*(1+H$3)</f>
        <v/>
      </c>
    </row>
    <row r="46">
      <c r="A46" s="22">
        <f>INT((C46-1)/12)+2</f>
        <v/>
      </c>
      <c r="B46" s="22">
        <f>MOD(C46-1,12)+1</f>
        <v/>
      </c>
      <c r="C46" s="22" t="n">
        <v>40</v>
      </c>
      <c r="D46" s="23">
        <f>D45+D$3*D45*(1-D45/D$2)</f>
        <v/>
      </c>
      <c r="E46" s="23">
        <f>E45+E$3*E45*(1-E45/E$2)</f>
        <v/>
      </c>
      <c r="F46" s="23">
        <f>F45+F$3*F45*(1-F45/F$2)</f>
        <v/>
      </c>
      <c r="G46" s="23">
        <f>G45*(1+G$3)</f>
        <v/>
      </c>
      <c r="H46" s="23">
        <f>H45*(1+H$3)</f>
        <v/>
      </c>
    </row>
    <row r="47">
      <c r="A47" s="22">
        <f>INT((C47-1)/12)+2</f>
        <v/>
      </c>
      <c r="B47" s="22">
        <f>MOD(C47-1,12)+1</f>
        <v/>
      </c>
      <c r="C47" s="22" t="n">
        <v>41</v>
      </c>
      <c r="D47" s="23">
        <f>D46+D$3*D46*(1-D46/D$2)</f>
        <v/>
      </c>
      <c r="E47" s="23">
        <f>E46+E$3*E46*(1-E46/E$2)</f>
        <v/>
      </c>
      <c r="F47" s="23">
        <f>F46+F$3*F46*(1-F46/F$2)</f>
        <v/>
      </c>
      <c r="G47" s="23">
        <f>G46*(1+G$3)</f>
        <v/>
      </c>
      <c r="H47" s="23">
        <f>H46*(1+H$3)</f>
        <v/>
      </c>
    </row>
    <row r="48">
      <c r="A48" s="22">
        <f>INT((C48-1)/12)+2</f>
        <v/>
      </c>
      <c r="B48" s="22">
        <f>MOD(C48-1,12)+1</f>
        <v/>
      </c>
      <c r="C48" s="22" t="n">
        <v>42</v>
      </c>
      <c r="D48" s="23">
        <f>D47+D$3*D47*(1-D47/D$2)</f>
        <v/>
      </c>
      <c r="E48" s="23">
        <f>E47+E$3*E47*(1-E47/E$2)</f>
        <v/>
      </c>
      <c r="F48" s="23">
        <f>F47+F$3*F47*(1-F47/F$2)</f>
        <v/>
      </c>
      <c r="G48" s="23">
        <f>G47*(1+G$3)</f>
        <v/>
      </c>
      <c r="H48" s="23">
        <f>H47*(1+H$3)</f>
        <v/>
      </c>
    </row>
    <row r="49">
      <c r="A49" s="22">
        <f>INT((C49-1)/12)+2</f>
        <v/>
      </c>
      <c r="B49" s="22">
        <f>MOD(C49-1,12)+1</f>
        <v/>
      </c>
      <c r="C49" s="22" t="n">
        <v>43</v>
      </c>
      <c r="D49" s="23">
        <f>D48+D$3*D48*(1-D48/D$2)</f>
        <v/>
      </c>
      <c r="E49" s="23">
        <f>E48+E$3*E48*(1-E48/E$2)</f>
        <v/>
      </c>
      <c r="F49" s="23">
        <f>F48+F$3*F48*(1-F48/F$2)</f>
        <v/>
      </c>
      <c r="G49" s="23">
        <f>G48*(1+G$3)</f>
        <v/>
      </c>
      <c r="H49" s="23">
        <f>H48*(1+H$3)</f>
        <v/>
      </c>
    </row>
    <row r="50">
      <c r="A50" s="22">
        <f>INT((C50-1)/12)+2</f>
        <v/>
      </c>
      <c r="B50" s="22">
        <f>MOD(C50-1,12)+1</f>
        <v/>
      </c>
      <c r="C50" s="22" t="n">
        <v>44</v>
      </c>
      <c r="D50" s="23">
        <f>D49+D$3*D49*(1-D49/D$2)</f>
        <v/>
      </c>
      <c r="E50" s="23">
        <f>E49+E$3*E49*(1-E49/E$2)</f>
        <v/>
      </c>
      <c r="F50" s="23">
        <f>F49+F$3*F49*(1-F49/F$2)</f>
        <v/>
      </c>
      <c r="G50" s="23">
        <f>G49*(1+G$3)</f>
        <v/>
      </c>
      <c r="H50" s="23">
        <f>H49*(1+H$3)</f>
        <v/>
      </c>
    </row>
    <row r="51">
      <c r="A51" s="22">
        <f>INT((C51-1)/12)+2</f>
        <v/>
      </c>
      <c r="B51" s="22">
        <f>MOD(C51-1,12)+1</f>
        <v/>
      </c>
      <c r="C51" s="22" t="n">
        <v>45</v>
      </c>
      <c r="D51" s="23">
        <f>D50+D$3*D50*(1-D50/D$2)</f>
        <v/>
      </c>
      <c r="E51" s="23">
        <f>E50+E$3*E50*(1-E50/E$2)</f>
        <v/>
      </c>
      <c r="F51" s="23">
        <f>F50+F$3*F50*(1-F50/F$2)</f>
        <v/>
      </c>
      <c r="G51" s="23">
        <f>G50*(1+G$3)</f>
        <v/>
      </c>
      <c r="H51" s="23">
        <f>H50*(1+H$3)</f>
        <v/>
      </c>
    </row>
    <row r="52">
      <c r="A52" s="22">
        <f>INT((C52-1)/12)+2</f>
        <v/>
      </c>
      <c r="B52" s="22">
        <f>MOD(C52-1,12)+1</f>
        <v/>
      </c>
      <c r="C52" s="22" t="n">
        <v>46</v>
      </c>
      <c r="D52" s="23">
        <f>D51+D$3*D51*(1-D51/D$2)</f>
        <v/>
      </c>
      <c r="E52" s="23">
        <f>E51+E$3*E51*(1-E51/E$2)</f>
        <v/>
      </c>
      <c r="F52" s="23">
        <f>F51+F$3*F51*(1-F51/F$2)</f>
        <v/>
      </c>
      <c r="G52" s="23">
        <f>G51*(1+G$3)</f>
        <v/>
      </c>
      <c r="H52" s="23">
        <f>H51*(1+H$3)</f>
        <v/>
      </c>
    </row>
    <row r="53">
      <c r="A53" s="22">
        <f>INT((C53-1)/12)+2</f>
        <v/>
      </c>
      <c r="B53" s="22">
        <f>MOD(C53-1,12)+1</f>
        <v/>
      </c>
      <c r="C53" s="22" t="n">
        <v>47</v>
      </c>
      <c r="D53" s="23">
        <f>D52+D$3*D52*(1-D52/D$2)</f>
        <v/>
      </c>
      <c r="E53" s="23">
        <f>E52+E$3*E52*(1-E52/E$2)</f>
        <v/>
      </c>
      <c r="F53" s="23">
        <f>F52+F$3*F52*(1-F52/F$2)</f>
        <v/>
      </c>
      <c r="G53" s="23">
        <f>G52*(1+G$3)</f>
        <v/>
      </c>
      <c r="H53" s="23">
        <f>H52*(1+H$3)</f>
        <v/>
      </c>
    </row>
    <row r="54">
      <c r="A54" s="22">
        <f>INT((C54-1)/12)+2</f>
        <v/>
      </c>
      <c r="B54" s="22">
        <f>MOD(C54-1,12)+1</f>
        <v/>
      </c>
      <c r="C54" s="22" t="n">
        <v>48</v>
      </c>
      <c r="D54" s="23">
        <f>D53+D$3*D53*(1-D53/D$2)</f>
        <v/>
      </c>
      <c r="E54" s="23">
        <f>E53+E$3*E53*(1-E53/E$2)</f>
        <v/>
      </c>
      <c r="F54" s="23">
        <f>F53+F$3*F53*(1-F53/F$2)</f>
        <v/>
      </c>
      <c r="G54" s="23">
        <f>G53*(1+G$3)</f>
        <v/>
      </c>
      <c r="H54" s="23">
        <f>H53*(1+H$3)</f>
        <v/>
      </c>
    </row>
    <row r="56">
      <c r="A56" s="2" t="inlineStr">
        <is>
          <t>Logistik: N(t+1) = N(t) + r x N(t) x (1 - N(t)/K). Eksponensial: N(t+1) = N(t) x (1+g). Baris t=0 = Y1 M12 (340, dari file FOS). Semua nilai di Y2-Y5 adalah PROYEKSI, bukan data.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6" customHeight="1">
      <c r="A1" s="1" t="inlineStr">
        <is>
          <t>EKSPONENSIAL vs LOGISTIK + CEK Y1 DARI FILE (not final)</t>
        </is>
      </c>
    </row>
    <row r="3">
      <c r="A3" s="24" t="inlineStr">
        <is>
          <t>A. Merchant akhir tahun per skenario</t>
        </is>
      </c>
    </row>
    <row r="4">
      <c r="A4" s="3" t="inlineStr">
        <is>
          <t>Seri</t>
        </is>
      </c>
      <c r="B4" s="3" t="inlineStr">
        <is>
          <t>Akhir Y1</t>
        </is>
      </c>
      <c r="C4" s="3" t="inlineStr">
        <is>
          <t>Akhir Y2</t>
        </is>
      </c>
      <c r="D4" s="3" t="inlineStr">
        <is>
          <t>Akhir Y3</t>
        </is>
      </c>
      <c r="E4" s="3" t="inlineStr">
        <is>
          <t>Akhir Y4</t>
        </is>
      </c>
      <c r="F4" s="3" t="inlineStr">
        <is>
          <t>Akhir Y5</t>
        </is>
      </c>
    </row>
    <row r="5">
      <c r="A5" s="6" t="inlineStr">
        <is>
          <t>Logistik Low</t>
        </is>
      </c>
      <c r="B5" s="17">
        <f>INDEX(Proyeksi!$D$6:$D$54,0+1)</f>
        <v/>
      </c>
      <c r="C5" s="17">
        <f>INDEX(Proyeksi!$D$6:$D$54,12+1)</f>
        <v/>
      </c>
      <c r="D5" s="17">
        <f>INDEX(Proyeksi!$D$6:$D$54,24+1)</f>
        <v/>
      </c>
      <c r="E5" s="17">
        <f>INDEX(Proyeksi!$D$6:$D$54,36+1)</f>
        <v/>
      </c>
      <c r="F5" s="17">
        <f>INDEX(Proyeksi!$D$6:$D$54,48+1)</f>
        <v/>
      </c>
    </row>
    <row r="6">
      <c r="A6" s="6" t="inlineStr">
        <is>
          <t>Logistik Mid</t>
        </is>
      </c>
      <c r="B6" s="17">
        <f>INDEX(Proyeksi!$E$6:$E$54,0+1)</f>
        <v/>
      </c>
      <c r="C6" s="17">
        <f>INDEX(Proyeksi!$E$6:$E$54,12+1)</f>
        <v/>
      </c>
      <c r="D6" s="17">
        <f>INDEX(Proyeksi!$E$6:$E$54,24+1)</f>
        <v/>
      </c>
      <c r="E6" s="17">
        <f>INDEX(Proyeksi!$E$6:$E$54,36+1)</f>
        <v/>
      </c>
      <c r="F6" s="17">
        <f>INDEX(Proyeksi!$E$6:$E$54,48+1)</f>
        <v/>
      </c>
    </row>
    <row r="7">
      <c r="A7" s="6" t="inlineStr">
        <is>
          <t>Logistik High</t>
        </is>
      </c>
      <c r="B7" s="17">
        <f>INDEX(Proyeksi!$F$6:$F$54,0+1)</f>
        <v/>
      </c>
      <c r="C7" s="17">
        <f>INDEX(Proyeksi!$F$6:$F$54,12+1)</f>
        <v/>
      </c>
      <c r="D7" s="17">
        <f>INDEX(Proyeksi!$F$6:$F$54,24+1)</f>
        <v/>
      </c>
      <c r="E7" s="17">
        <f>INDEX(Proyeksi!$F$6:$F$54,36+1)</f>
        <v/>
      </c>
      <c r="F7" s="17">
        <f>INDEX(Proyeksi!$F$6:$F$54,48+1)</f>
        <v/>
      </c>
    </row>
    <row r="8">
      <c r="A8" s="6" t="inlineStr">
        <is>
          <t>Eksponensial (growth rata-rata Y1)</t>
        </is>
      </c>
      <c r="B8" s="17">
        <f>INDEX(Proyeksi!$G$6:$G$54,0+1)</f>
        <v/>
      </c>
      <c r="C8" s="17">
        <f>INDEX(Proyeksi!$G$6:$G$54,12+1)</f>
        <v/>
      </c>
      <c r="D8" s="17">
        <f>INDEX(Proyeksi!$G$6:$G$54,24+1)</f>
        <v/>
      </c>
      <c r="E8" s="17">
        <f>INDEX(Proyeksi!$G$6:$G$54,36+1)</f>
        <v/>
      </c>
      <c r="F8" s="17">
        <f>INDEX(Proyeksi!$G$6:$G$54,48+1)</f>
        <v/>
      </c>
    </row>
    <row r="9">
      <c r="A9" s="6" t="inlineStr">
        <is>
          <t>Eksponensial (growth M12 Y1)</t>
        </is>
      </c>
      <c r="B9" s="17">
        <f>INDEX(Proyeksi!$H$6:$H$54,0+1)</f>
        <v/>
      </c>
      <c r="C9" s="17">
        <f>INDEX(Proyeksi!$H$6:$H$54,12+1)</f>
        <v/>
      </c>
      <c r="D9" s="17">
        <f>INDEX(Proyeksi!$H$6:$H$54,24+1)</f>
        <v/>
      </c>
      <c r="E9" s="17">
        <f>INDEX(Proyeksi!$H$6:$H$54,36+1)</f>
        <v/>
      </c>
      <c r="F9" s="17">
        <f>INDEX(Proyeksi!$H$6:$H$54,48+1)</f>
        <v/>
      </c>
    </row>
    <row r="10">
      <c r="A10" s="16" t="inlineStr">
        <is>
          <t>Eksponensial rata-rata Y1 / Plafon Mid (x)</t>
        </is>
      </c>
      <c r="B10" s="25">
        <f>B8/Input!$B$13</f>
        <v/>
      </c>
      <c r="C10" s="25">
        <f>C8/Input!$B$13</f>
        <v/>
      </c>
      <c r="D10" s="25">
        <f>D8/Input!$B$13</f>
        <v/>
      </c>
      <c r="E10" s="25">
        <f>E8/Input!$B$13</f>
        <v/>
      </c>
      <c r="F10" s="25">
        <f>F8/Input!$B$13</f>
        <v/>
      </c>
    </row>
    <row r="11">
      <c r="A11" s="16" t="inlineStr">
        <is>
          <t>Eksponensial M12 Y1 / Plafon Mid (x)</t>
        </is>
      </c>
      <c r="B11" s="25">
        <f>B9/Input!$B$13</f>
        <v/>
      </c>
      <c r="C11" s="25">
        <f>C9/Input!$B$13</f>
        <v/>
      </c>
      <c r="D11" s="25">
        <f>D9/Input!$B$13</f>
        <v/>
      </c>
      <c r="E11" s="25">
        <f>E9/Input!$B$13</f>
        <v/>
      </c>
      <c r="F11" s="25">
        <f>F9/Input!$B$13</f>
        <v/>
      </c>
    </row>
    <row r="12">
      <c r="A12" s="16" t="inlineStr">
        <is>
          <t>Melebihi plafon Mid? (rata-rata Y1)</t>
        </is>
      </c>
      <c r="B12" s="6">
        <f>IF(B8&gt;Input!$B$13,"YA","tidak")</f>
        <v/>
      </c>
      <c r="C12" s="6">
        <f>IF(C8&gt;Input!$B$13,"YA","tidak")</f>
        <v/>
      </c>
      <c r="D12" s="6">
        <f>IF(D8&gt;Input!$B$13,"YA","tidak")</f>
        <v/>
      </c>
      <c r="E12" s="6">
        <f>IF(E8&gt;Input!$B$13,"YA","tidak")</f>
        <v/>
      </c>
      <c r="F12" s="6">
        <f>IF(F8&gt;Input!$B$13,"YA","tidak")</f>
        <v/>
      </c>
    </row>
    <row r="15">
      <c r="A15" s="24" t="inlineStr">
        <is>
          <t>B. Cek Year 1 dari file FOS: apakah churn 15%/bulan dihitung?</t>
        </is>
      </c>
    </row>
    <row r="16" ht="54" customHeight="1">
      <c r="A16" s="3" t="inlineStr">
        <is>
          <t>Bulan Y1</t>
        </is>
      </c>
      <c r="B16" s="3" t="inlineStr">
        <is>
          <t>Merchant (file)</t>
        </is>
      </c>
      <c r="C16" s="3" t="inlineStr">
        <is>
          <t>Growth bulanan</t>
        </is>
      </c>
      <c r="D16" s="3" t="inlineStr">
        <is>
          <t>Net adds (file)</t>
        </is>
      </c>
      <c r="E16" s="3" t="inlineStr">
        <is>
          <t>Churn (15% x merchant bulan lalu)</t>
        </is>
      </c>
      <c r="F16" s="3" t="inlineStr">
        <is>
          <t>Gross adds yg dibutuhkan</t>
        </is>
      </c>
      <c r="G16" s="3" t="inlineStr">
        <is>
          <t>CAC di file (net adds x Rp200rb)</t>
        </is>
      </c>
      <c r="H16" s="3" t="inlineStr">
        <is>
          <t>CAC jika churn dihitung</t>
        </is>
      </c>
    </row>
    <row r="17">
      <c r="A17" s="6" t="inlineStr">
        <is>
          <t>M1</t>
        </is>
      </c>
      <c r="B17" s="5" t="n">
        <v>50</v>
      </c>
      <c r="C17" s="6" t="inlineStr">
        <is>
          <t>-</t>
        </is>
      </c>
      <c r="D17" s="23">
        <f>B17</f>
        <v/>
      </c>
      <c r="E17" s="5" t="n">
        <v>0</v>
      </c>
      <c r="F17" s="26">
        <f>D17+E17</f>
        <v/>
      </c>
      <c r="G17" s="15">
        <f>D17*Input!$B$28</f>
        <v/>
      </c>
      <c r="H17" s="15">
        <f>F17*Input!$B$28</f>
        <v/>
      </c>
    </row>
    <row r="18">
      <c r="A18" s="6" t="inlineStr">
        <is>
          <t>M2</t>
        </is>
      </c>
      <c r="B18" s="5" t="n">
        <v>65</v>
      </c>
      <c r="C18" s="8">
        <f>B18/B17-1</f>
        <v/>
      </c>
      <c r="D18" s="23">
        <f>B18-B17</f>
        <v/>
      </c>
      <c r="E18" s="26">
        <f>Input!$B$11*B17</f>
        <v/>
      </c>
      <c r="F18" s="26">
        <f>D18+E18</f>
        <v/>
      </c>
      <c r="G18" s="15">
        <f>D18*Input!$B$28</f>
        <v/>
      </c>
      <c r="H18" s="15">
        <f>F18*Input!$B$28</f>
        <v/>
      </c>
    </row>
    <row r="19">
      <c r="A19" s="6" t="inlineStr">
        <is>
          <t>M3</t>
        </is>
      </c>
      <c r="B19" s="5" t="n">
        <v>82</v>
      </c>
      <c r="C19" s="8">
        <f>B19/B18-1</f>
        <v/>
      </c>
      <c r="D19" s="23">
        <f>B19-B18</f>
        <v/>
      </c>
      <c r="E19" s="26">
        <f>Input!$B$11*B18</f>
        <v/>
      </c>
      <c r="F19" s="26">
        <f>D19+E19</f>
        <v/>
      </c>
      <c r="G19" s="15">
        <f>D19*Input!$B$28</f>
        <v/>
      </c>
      <c r="H19" s="15">
        <f>F19*Input!$B$28</f>
        <v/>
      </c>
    </row>
    <row r="20">
      <c r="A20" s="6" t="inlineStr">
        <is>
          <t>M4</t>
        </is>
      </c>
      <c r="B20" s="5" t="n">
        <v>100</v>
      </c>
      <c r="C20" s="8">
        <f>B20/B19-1</f>
        <v/>
      </c>
      <c r="D20" s="23">
        <f>B20-B19</f>
        <v/>
      </c>
      <c r="E20" s="26">
        <f>Input!$B$11*B19</f>
        <v/>
      </c>
      <c r="F20" s="26">
        <f>D20+E20</f>
        <v/>
      </c>
      <c r="G20" s="15">
        <f>D20*Input!$B$28</f>
        <v/>
      </c>
      <c r="H20" s="15">
        <f>F20*Input!$B$28</f>
        <v/>
      </c>
    </row>
    <row r="21">
      <c r="A21" s="6" t="inlineStr">
        <is>
          <t>M5</t>
        </is>
      </c>
      <c r="B21" s="5" t="n">
        <v>120</v>
      </c>
      <c r="C21" s="8">
        <f>B21/B20-1</f>
        <v/>
      </c>
      <c r="D21" s="23">
        <f>B21-B20</f>
        <v/>
      </c>
      <c r="E21" s="26">
        <f>Input!$B$11*B20</f>
        <v/>
      </c>
      <c r="F21" s="26">
        <f>D21+E21</f>
        <v/>
      </c>
      <c r="G21" s="15">
        <f>D21*Input!$B$28</f>
        <v/>
      </c>
      <c r="H21" s="15">
        <f>F21*Input!$B$28</f>
        <v/>
      </c>
    </row>
    <row r="22">
      <c r="A22" s="6" t="inlineStr">
        <is>
          <t>M6</t>
        </is>
      </c>
      <c r="B22" s="5" t="n">
        <v>145</v>
      </c>
      <c r="C22" s="8">
        <f>B22/B21-1</f>
        <v/>
      </c>
      <c r="D22" s="23">
        <f>B22-B21</f>
        <v/>
      </c>
      <c r="E22" s="26">
        <f>Input!$B$11*B21</f>
        <v/>
      </c>
      <c r="F22" s="26">
        <f>D22+E22</f>
        <v/>
      </c>
      <c r="G22" s="15">
        <f>D22*Input!$B$28</f>
        <v/>
      </c>
      <c r="H22" s="15">
        <f>F22*Input!$B$28</f>
        <v/>
      </c>
    </row>
    <row r="23">
      <c r="A23" s="6" t="inlineStr">
        <is>
          <t>M7</t>
        </is>
      </c>
      <c r="B23" s="5" t="n">
        <v>170</v>
      </c>
      <c r="C23" s="8">
        <f>B23/B22-1</f>
        <v/>
      </c>
      <c r="D23" s="23">
        <f>B23-B22</f>
        <v/>
      </c>
      <c r="E23" s="26">
        <f>Input!$B$11*B22</f>
        <v/>
      </c>
      <c r="F23" s="26">
        <f>D23+E23</f>
        <v/>
      </c>
      <c r="G23" s="15">
        <f>D23*Input!$B$28</f>
        <v/>
      </c>
      <c r="H23" s="15">
        <f>F23*Input!$B$28</f>
        <v/>
      </c>
    </row>
    <row r="24">
      <c r="A24" s="6" t="inlineStr">
        <is>
          <t>M8</t>
        </is>
      </c>
      <c r="B24" s="5" t="n">
        <v>200</v>
      </c>
      <c r="C24" s="8">
        <f>B24/B23-1</f>
        <v/>
      </c>
      <c r="D24" s="23">
        <f>B24-B23</f>
        <v/>
      </c>
      <c r="E24" s="26">
        <f>Input!$B$11*B23</f>
        <v/>
      </c>
      <c r="F24" s="26">
        <f>D24+E24</f>
        <v/>
      </c>
      <c r="G24" s="15">
        <f>D24*Input!$B$28</f>
        <v/>
      </c>
      <c r="H24" s="15">
        <f>F24*Input!$B$28</f>
        <v/>
      </c>
    </row>
    <row r="25">
      <c r="A25" s="6" t="inlineStr">
        <is>
          <t>M9</t>
        </is>
      </c>
      <c r="B25" s="5" t="n">
        <v>230</v>
      </c>
      <c r="C25" s="8">
        <f>B25/B24-1</f>
        <v/>
      </c>
      <c r="D25" s="23">
        <f>B25-B24</f>
        <v/>
      </c>
      <c r="E25" s="26">
        <f>Input!$B$11*B24</f>
        <v/>
      </c>
      <c r="F25" s="26">
        <f>D25+E25</f>
        <v/>
      </c>
      <c r="G25" s="15">
        <f>D25*Input!$B$28</f>
        <v/>
      </c>
      <c r="H25" s="15">
        <f>F25*Input!$B$28</f>
        <v/>
      </c>
    </row>
    <row r="26">
      <c r="A26" s="6" t="inlineStr">
        <is>
          <t>M10</t>
        </is>
      </c>
      <c r="B26" s="5" t="n">
        <v>265</v>
      </c>
      <c r="C26" s="8">
        <f>B26/B25-1</f>
        <v/>
      </c>
      <c r="D26" s="23">
        <f>B26-B25</f>
        <v/>
      </c>
      <c r="E26" s="26">
        <f>Input!$B$11*B25</f>
        <v/>
      </c>
      <c r="F26" s="26">
        <f>D26+E26</f>
        <v/>
      </c>
      <c r="G26" s="15">
        <f>D26*Input!$B$28</f>
        <v/>
      </c>
      <c r="H26" s="15">
        <f>F26*Input!$B$28</f>
        <v/>
      </c>
    </row>
    <row r="27">
      <c r="A27" s="6" t="inlineStr">
        <is>
          <t>M11</t>
        </is>
      </c>
      <c r="B27" s="5" t="n">
        <v>300</v>
      </c>
      <c r="C27" s="8">
        <f>B27/B26-1</f>
        <v/>
      </c>
      <c r="D27" s="23">
        <f>B27-B26</f>
        <v/>
      </c>
      <c r="E27" s="26">
        <f>Input!$B$11*B26</f>
        <v/>
      </c>
      <c r="F27" s="26">
        <f>D27+E27</f>
        <v/>
      </c>
      <c r="G27" s="15">
        <f>D27*Input!$B$28</f>
        <v/>
      </c>
      <c r="H27" s="15">
        <f>F27*Input!$B$28</f>
        <v/>
      </c>
    </row>
    <row r="28">
      <c r="A28" s="6" t="inlineStr">
        <is>
          <t>M12</t>
        </is>
      </c>
      <c r="B28" s="5" t="n">
        <v>340</v>
      </c>
      <c r="C28" s="8">
        <f>B28/B27-1</f>
        <v/>
      </c>
      <c r="D28" s="23">
        <f>B28-B27</f>
        <v/>
      </c>
      <c r="E28" s="26">
        <f>Input!$B$11*B27</f>
        <v/>
      </c>
      <c r="F28" s="26">
        <f>D28+E28</f>
        <v/>
      </c>
      <c r="G28" s="15">
        <f>D28*Input!$B$28</f>
        <v/>
      </c>
      <c r="H28" s="15">
        <f>F28*Input!$B$28</f>
        <v/>
      </c>
    </row>
    <row r="29">
      <c r="A29" s="16" t="inlineStr">
        <is>
          <t>TOTAL</t>
        </is>
      </c>
      <c r="D29" s="27">
        <f>SUM(D17:D28)</f>
        <v/>
      </c>
      <c r="E29" s="28">
        <f>SUM(E17:E28)</f>
        <v/>
      </c>
      <c r="F29" s="28">
        <f>SUM(F17:F28)</f>
        <v/>
      </c>
      <c r="G29" s="29">
        <f>SUM(G17:G28)</f>
        <v/>
      </c>
      <c r="H29" s="29">
        <f>SUM(H17:H28)</f>
        <v/>
      </c>
    </row>
    <row r="30">
      <c r="A30" s="16" t="inlineStr">
        <is>
          <t>Selisih CAC (churn dihitung vs file)</t>
        </is>
      </c>
      <c r="G30" s="30">
        <f>H29-G29</f>
        <v/>
      </c>
      <c r="H30" s="31">
        <f>H29/G29-1</f>
        <v/>
      </c>
    </row>
    <row r="31">
      <c r="A31" s="2" t="inlineStr">
        <is>
          <t>Cek: total CAC file harus = Rp68.000.000 (Cost Structure FOS, Merchant CAC).</t>
        </is>
      </c>
    </row>
    <row r="33">
      <c r="A33" s="24" t="inlineStr">
        <is>
          <t>C. Plafon merchant yang bisa dipertahankan dengan churn tetap</t>
        </is>
      </c>
    </row>
    <row r="34">
      <c r="A34" s="6" t="inlineStr">
        <is>
          <t>Adds/bulan maksimum Y1 (file, M12)</t>
        </is>
      </c>
      <c r="B34" s="23">
        <f>D28</f>
        <v/>
      </c>
    </row>
    <row r="35">
      <c r="A35" s="6" t="inlineStr">
        <is>
          <t>Plafon steady-state = adds / churn</t>
        </is>
      </c>
      <c r="B35" s="32">
        <f>B34/Input!$B$11</f>
        <v/>
      </c>
    </row>
    <row r="36">
      <c r="A36" s="6" t="inlineStr">
        <is>
          <t>Target merchant akhir Y1 di file</t>
        </is>
      </c>
      <c r="B36" s="17">
        <f>Input!$B$8</f>
        <v/>
      </c>
    </row>
    <row r="37">
      <c r="A37" s="6" t="inlineStr">
        <is>
          <t>Churn bulanan agar 40 adds/bulan bisa menopang 340 merchant</t>
        </is>
      </c>
      <c r="B37" s="33">
        <f>B34/B36</f>
        <v/>
      </c>
    </row>
    <row r="38">
      <c r="A38" s="2" t="inlineStr">
        <is>
          <t>Catatan: dengan churn 15%/bulan, 40 adds/bulan hanya cukup menopang ~267 merchant. Angka 340 di file hanya tercapai jika churn ~12% atau adds lebih besar.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</cols>
  <sheetData>
    <row r="1" ht="26" customHeight="1">
      <c r="A1" s="1" t="inlineStr">
        <is>
          <t>BIAYA AKUISISI &amp; REVENUE untuk skenario aktif (not final)</t>
        </is>
      </c>
    </row>
    <row r="2">
      <c r="A2" s="16" t="inlineStr">
        <is>
          <t>Skenario aktif:</t>
        </is>
      </c>
      <c r="B2" s="34">
        <f>CHOOSE(Input!$B$15,"Low","Mid","High")&amp;" (K="&amp;TEXT(INDEX(Proyeksi!$D$2:$F$2,Input!$B$15),"#,##0")&amp;")"</f>
        <v/>
      </c>
    </row>
    <row r="3">
      <c r="A3" s="2" t="inlineStr">
        <is>
          <t>Ubah di Input!B15. Hanya biaya akuisisi (CAC) + gaji sales yang dihitung di sini; biaya lain (tim inti, server, marketing, dsb.) tidak termasuk. Semua merchant dianggap membayar penuh (tanpa trial).</t>
        </is>
      </c>
    </row>
    <row r="5">
      <c r="A5" s="3" t="inlineStr">
        <is>
          <t>Ringkasan per tahun</t>
        </is>
      </c>
      <c r="B5" s="3" t="inlineStr">
        <is>
          <t>Year 2</t>
        </is>
      </c>
      <c r="C5" s="3" t="inlineStr">
        <is>
          <t>Year 3</t>
        </is>
      </c>
      <c r="D5" s="3" t="inlineStr">
        <is>
          <t>Year 4</t>
        </is>
      </c>
      <c r="E5" s="3" t="inlineStr">
        <is>
          <t>Year 5</t>
        </is>
      </c>
    </row>
    <row r="6">
      <c r="A6" s="6" t="inlineStr">
        <is>
          <t>Merchant akhir tahun</t>
        </is>
      </c>
      <c r="B6" s="23">
        <f>INDEX($D$18:$D$65,12)</f>
        <v/>
      </c>
      <c r="C6" s="23">
        <f>INDEX($D$18:$D$65,24)</f>
        <v/>
      </c>
      <c r="D6" s="23">
        <f>INDEX($D$18:$D$65,36)</f>
        <v/>
      </c>
      <c r="E6" s="23">
        <f>INDEX($D$18:$D$65,48)</f>
        <v/>
      </c>
    </row>
    <row r="7">
      <c r="A7" s="6" t="inlineStr">
        <is>
          <t>Total gross adds (net adds + pengganti churn)</t>
        </is>
      </c>
      <c r="B7" s="23">
        <f>SUMIFS($G$18:$G$65,$A$18:$A$65,2)</f>
        <v/>
      </c>
      <c r="C7" s="23">
        <f>SUMIFS($G$18:$G$65,$A$18:$A$65,3)</f>
        <v/>
      </c>
      <c r="D7" s="23">
        <f>SUMIFS($G$18:$G$65,$A$18:$A$65,4)</f>
        <v/>
      </c>
      <c r="E7" s="23">
        <f>SUMIFS($G$18:$G$65,$A$18:$A$65,5)</f>
        <v/>
      </c>
    </row>
    <row r="8">
      <c r="A8" s="6" t="inlineStr">
        <is>
          <t>Rata-rata gross adds per bulan</t>
        </is>
      </c>
      <c r="B8" s="23">
        <f>B7/12</f>
        <v/>
      </c>
      <c r="C8" s="23">
        <f>C7/12</f>
        <v/>
      </c>
      <c r="D8" s="23">
        <f>D7/12</f>
        <v/>
      </c>
      <c r="E8" s="23">
        <f>E7/12</f>
        <v/>
      </c>
    </row>
    <row r="9">
      <c r="A9" s="6" t="inlineStr">
        <is>
          <t>Biaya CAC</t>
        </is>
      </c>
      <c r="B9" s="15">
        <f>SUMIFS($H$18:$H$65,$A$18:$A$65,2)</f>
        <v/>
      </c>
      <c r="C9" s="15">
        <f>SUMIFS($H$18:$H$65,$A$18:$A$65,3)</f>
        <v/>
      </c>
      <c r="D9" s="15">
        <f>SUMIFS($H$18:$H$65,$A$18:$A$65,4)</f>
        <v/>
      </c>
      <c r="E9" s="15">
        <f>SUMIFS($H$18:$H$65,$A$18:$A$65,5)</f>
        <v/>
      </c>
    </row>
    <row r="10">
      <c r="A10" s="6" t="inlineStr">
        <is>
          <t>Sales yang dibutuhkan (maks. bulanan)</t>
        </is>
      </c>
      <c r="B10" s="23">
        <f>MAX(INDEX($I$18:$I$65,1):INDEX($I$18:$I$65,12))</f>
        <v/>
      </c>
      <c r="C10" s="23">
        <f>MAX(INDEX($I$18:$I$65,13):INDEX($I$18:$I$65,24))</f>
        <v/>
      </c>
      <c r="D10" s="23">
        <f>MAX(INDEX($I$18:$I$65,25):INDEX($I$18:$I$65,36))</f>
        <v/>
      </c>
      <c r="E10" s="23">
        <f>MAX(INDEX($I$18:$I$65,37):INDEX($I$18:$I$65,48))</f>
        <v/>
      </c>
    </row>
    <row r="11">
      <c r="A11" s="6" t="inlineStr">
        <is>
          <t>Biaya gaji sales</t>
        </is>
      </c>
      <c r="B11" s="15">
        <f>SUMIFS($J$18:$J$65,$A$18:$A$65,2)</f>
        <v/>
      </c>
      <c r="C11" s="15">
        <f>SUMIFS($J$18:$J$65,$A$18:$A$65,3)</f>
        <v/>
      </c>
      <c r="D11" s="15">
        <f>SUMIFS($J$18:$J$65,$A$18:$A$65,4)</f>
        <v/>
      </c>
      <c r="E11" s="15">
        <f>SUMIFS($J$18:$J$65,$A$18:$A$65,5)</f>
        <v/>
      </c>
    </row>
    <row r="12">
      <c r="A12" s="6" t="inlineStr">
        <is>
          <t>Revenue (merchant x ARPM)</t>
        </is>
      </c>
      <c r="B12" s="15">
        <f>SUMIFS($K$18:$K$65,$A$18:$A$65,2)</f>
        <v/>
      </c>
      <c r="C12" s="15">
        <f>SUMIFS($K$18:$K$65,$A$18:$A$65,3)</f>
        <v/>
      </c>
      <c r="D12" s="15">
        <f>SUMIFS($K$18:$K$65,$A$18:$A$65,4)</f>
        <v/>
      </c>
      <c r="E12" s="15">
        <f>SUMIFS($K$18:$K$65,$A$18:$A$65,5)</f>
        <v/>
      </c>
    </row>
    <row r="13">
      <c r="A13" s="6" t="inlineStr">
        <is>
          <t>Revenue - CAC - gaji sales</t>
        </is>
      </c>
      <c r="B13" s="29">
        <f>B12-B9-B11</f>
        <v/>
      </c>
      <c r="C13" s="29">
        <f>C12-C9-C11</f>
        <v/>
      </c>
      <c r="D13" s="29">
        <f>D12-D9-D11</f>
        <v/>
      </c>
      <c r="E13" s="29">
        <f>E12-E9-E11</f>
        <v/>
      </c>
    </row>
    <row r="15">
      <c r="A15" s="2" t="inlineStr">
        <is>
          <t>Pembanding: CAC Y1 di file = Rp68.000.000 (tanpa churn) | dengan churn 15%/bulan lihat EksVsLogistik!H29.</t>
        </is>
      </c>
    </row>
    <row r="17" ht="40" customHeight="1">
      <c r="A17" s="3" t="inlineStr">
        <is>
          <t>Year</t>
        </is>
      </c>
      <c r="B17" s="3" t="inlineStr">
        <is>
          <t>Bulan</t>
        </is>
      </c>
      <c r="C17" s="3" t="inlineStr">
        <is>
          <t>t</t>
        </is>
      </c>
      <c r="D17" s="3" t="inlineStr">
        <is>
          <t>Merchant akhir bulan</t>
        </is>
      </c>
      <c r="E17" s="3" t="inlineStr">
        <is>
          <t>Net adds</t>
        </is>
      </c>
      <c r="F17" s="3" t="inlineStr">
        <is>
          <t>Churn (pengganti)</t>
        </is>
      </c>
      <c r="G17" s="3" t="inlineStr">
        <is>
          <t>Gross adds</t>
        </is>
      </c>
      <c r="H17" s="3" t="inlineStr">
        <is>
          <t>Biaya CAC</t>
        </is>
      </c>
      <c r="I17" s="3" t="inlineStr">
        <is>
          <t>Sales dibutuhkan</t>
        </is>
      </c>
      <c r="J17" s="3" t="inlineStr">
        <is>
          <t>Gaji sales</t>
        </is>
      </c>
      <c r="K17" s="3" t="inlineStr">
        <is>
          <t>Revenue</t>
        </is>
      </c>
      <c r="L17" s="3" t="inlineStr">
        <is>
          <t>Revenue - CAC - gaji</t>
        </is>
      </c>
    </row>
    <row r="18">
      <c r="A18" s="35">
        <f>Proyeksi!A7</f>
        <v/>
      </c>
      <c r="B18" s="35">
        <f>Proyeksi!B7</f>
        <v/>
      </c>
      <c r="C18" s="35">
        <f>Proyeksi!C7</f>
        <v/>
      </c>
      <c r="D18" s="17">
        <f>INDEX(Proyeksi!$D7:$F7,Input!$B$15)</f>
        <v/>
      </c>
      <c r="E18" s="23">
        <f>D18-INDEX(Proyeksi!$D6:$F6,Input!$B$15)</f>
        <v/>
      </c>
      <c r="F18" s="23">
        <f>Input!$B$11*INDEX(Proyeksi!$D6:$F6,Input!$B$15)</f>
        <v/>
      </c>
      <c r="G18" s="23">
        <f>E18+F18</f>
        <v/>
      </c>
      <c r="H18" s="15">
        <f>G18*Input!$B$28</f>
        <v/>
      </c>
      <c r="I18" s="23">
        <f>MAX(1,ROUNDUP(G18/Input!$B$29,0))</f>
        <v/>
      </c>
      <c r="J18" s="15">
        <f>I18*Input!$B$30</f>
        <v/>
      </c>
      <c r="K18" s="15">
        <f>D18*Input!$B$27</f>
        <v/>
      </c>
      <c r="L18" s="15">
        <f>K18-H18-J18</f>
        <v/>
      </c>
    </row>
    <row r="19">
      <c r="A19" s="35">
        <f>Proyeksi!A8</f>
        <v/>
      </c>
      <c r="B19" s="35">
        <f>Proyeksi!B8</f>
        <v/>
      </c>
      <c r="C19" s="35">
        <f>Proyeksi!C8</f>
        <v/>
      </c>
      <c r="D19" s="17">
        <f>INDEX(Proyeksi!$D8:$F8,Input!$B$15)</f>
        <v/>
      </c>
      <c r="E19" s="23">
        <f>D19-INDEX(Proyeksi!$D7:$F7,Input!$B$15)</f>
        <v/>
      </c>
      <c r="F19" s="23">
        <f>Input!$B$11*INDEX(Proyeksi!$D7:$F7,Input!$B$15)</f>
        <v/>
      </c>
      <c r="G19" s="23">
        <f>E19+F19</f>
        <v/>
      </c>
      <c r="H19" s="15">
        <f>G19*Input!$B$28</f>
        <v/>
      </c>
      <c r="I19" s="23">
        <f>MAX(1,ROUNDUP(G19/Input!$B$29,0))</f>
        <v/>
      </c>
      <c r="J19" s="15">
        <f>I19*Input!$B$30</f>
        <v/>
      </c>
      <c r="K19" s="15">
        <f>D19*Input!$B$27</f>
        <v/>
      </c>
      <c r="L19" s="15">
        <f>K19-H19-J19</f>
        <v/>
      </c>
    </row>
    <row r="20">
      <c r="A20" s="35">
        <f>Proyeksi!A9</f>
        <v/>
      </c>
      <c r="B20" s="35">
        <f>Proyeksi!B9</f>
        <v/>
      </c>
      <c r="C20" s="35">
        <f>Proyeksi!C9</f>
        <v/>
      </c>
      <c r="D20" s="17">
        <f>INDEX(Proyeksi!$D9:$F9,Input!$B$15)</f>
        <v/>
      </c>
      <c r="E20" s="23">
        <f>D20-INDEX(Proyeksi!$D8:$F8,Input!$B$15)</f>
        <v/>
      </c>
      <c r="F20" s="23">
        <f>Input!$B$11*INDEX(Proyeksi!$D8:$F8,Input!$B$15)</f>
        <v/>
      </c>
      <c r="G20" s="23">
        <f>E20+F20</f>
        <v/>
      </c>
      <c r="H20" s="15">
        <f>G20*Input!$B$28</f>
        <v/>
      </c>
      <c r="I20" s="23">
        <f>MAX(1,ROUNDUP(G20/Input!$B$29,0))</f>
        <v/>
      </c>
      <c r="J20" s="15">
        <f>I20*Input!$B$30</f>
        <v/>
      </c>
      <c r="K20" s="15">
        <f>D20*Input!$B$27</f>
        <v/>
      </c>
      <c r="L20" s="15">
        <f>K20-H20-J20</f>
        <v/>
      </c>
    </row>
    <row r="21">
      <c r="A21" s="35">
        <f>Proyeksi!A10</f>
        <v/>
      </c>
      <c r="B21" s="35">
        <f>Proyeksi!B10</f>
        <v/>
      </c>
      <c r="C21" s="35">
        <f>Proyeksi!C10</f>
        <v/>
      </c>
      <c r="D21" s="17">
        <f>INDEX(Proyeksi!$D10:$F10,Input!$B$15)</f>
        <v/>
      </c>
      <c r="E21" s="23">
        <f>D21-INDEX(Proyeksi!$D9:$F9,Input!$B$15)</f>
        <v/>
      </c>
      <c r="F21" s="23">
        <f>Input!$B$11*INDEX(Proyeksi!$D9:$F9,Input!$B$15)</f>
        <v/>
      </c>
      <c r="G21" s="23">
        <f>E21+F21</f>
        <v/>
      </c>
      <c r="H21" s="15">
        <f>G21*Input!$B$28</f>
        <v/>
      </c>
      <c r="I21" s="23">
        <f>MAX(1,ROUNDUP(G21/Input!$B$29,0))</f>
        <v/>
      </c>
      <c r="J21" s="15">
        <f>I21*Input!$B$30</f>
        <v/>
      </c>
      <c r="K21" s="15">
        <f>D21*Input!$B$27</f>
        <v/>
      </c>
      <c r="L21" s="15">
        <f>K21-H21-J21</f>
        <v/>
      </c>
    </row>
    <row r="22">
      <c r="A22" s="35">
        <f>Proyeksi!A11</f>
        <v/>
      </c>
      <c r="B22" s="35">
        <f>Proyeksi!B11</f>
        <v/>
      </c>
      <c r="C22" s="35">
        <f>Proyeksi!C11</f>
        <v/>
      </c>
      <c r="D22" s="17">
        <f>INDEX(Proyeksi!$D11:$F11,Input!$B$15)</f>
        <v/>
      </c>
      <c r="E22" s="23">
        <f>D22-INDEX(Proyeksi!$D10:$F10,Input!$B$15)</f>
        <v/>
      </c>
      <c r="F22" s="23">
        <f>Input!$B$11*INDEX(Proyeksi!$D10:$F10,Input!$B$15)</f>
        <v/>
      </c>
      <c r="G22" s="23">
        <f>E22+F22</f>
        <v/>
      </c>
      <c r="H22" s="15">
        <f>G22*Input!$B$28</f>
        <v/>
      </c>
      <c r="I22" s="23">
        <f>MAX(1,ROUNDUP(G22/Input!$B$29,0))</f>
        <v/>
      </c>
      <c r="J22" s="15">
        <f>I22*Input!$B$30</f>
        <v/>
      </c>
      <c r="K22" s="15">
        <f>D22*Input!$B$27</f>
        <v/>
      </c>
      <c r="L22" s="15">
        <f>K22-H22-J22</f>
        <v/>
      </c>
    </row>
    <row r="23">
      <c r="A23" s="35">
        <f>Proyeksi!A12</f>
        <v/>
      </c>
      <c r="B23" s="35">
        <f>Proyeksi!B12</f>
        <v/>
      </c>
      <c r="C23" s="35">
        <f>Proyeksi!C12</f>
        <v/>
      </c>
      <c r="D23" s="17">
        <f>INDEX(Proyeksi!$D12:$F12,Input!$B$15)</f>
        <v/>
      </c>
      <c r="E23" s="23">
        <f>D23-INDEX(Proyeksi!$D11:$F11,Input!$B$15)</f>
        <v/>
      </c>
      <c r="F23" s="23">
        <f>Input!$B$11*INDEX(Proyeksi!$D11:$F11,Input!$B$15)</f>
        <v/>
      </c>
      <c r="G23" s="23">
        <f>E23+F23</f>
        <v/>
      </c>
      <c r="H23" s="15">
        <f>G23*Input!$B$28</f>
        <v/>
      </c>
      <c r="I23" s="23">
        <f>MAX(1,ROUNDUP(G23/Input!$B$29,0))</f>
        <v/>
      </c>
      <c r="J23" s="15">
        <f>I23*Input!$B$30</f>
        <v/>
      </c>
      <c r="K23" s="15">
        <f>D23*Input!$B$27</f>
        <v/>
      </c>
      <c r="L23" s="15">
        <f>K23-H23-J23</f>
        <v/>
      </c>
    </row>
    <row r="24">
      <c r="A24" s="35">
        <f>Proyeksi!A13</f>
        <v/>
      </c>
      <c r="B24" s="35">
        <f>Proyeksi!B13</f>
        <v/>
      </c>
      <c r="C24" s="35">
        <f>Proyeksi!C13</f>
        <v/>
      </c>
      <c r="D24" s="17">
        <f>INDEX(Proyeksi!$D13:$F13,Input!$B$15)</f>
        <v/>
      </c>
      <c r="E24" s="23">
        <f>D24-INDEX(Proyeksi!$D12:$F12,Input!$B$15)</f>
        <v/>
      </c>
      <c r="F24" s="23">
        <f>Input!$B$11*INDEX(Proyeksi!$D12:$F12,Input!$B$15)</f>
        <v/>
      </c>
      <c r="G24" s="23">
        <f>E24+F24</f>
        <v/>
      </c>
      <c r="H24" s="15">
        <f>G24*Input!$B$28</f>
        <v/>
      </c>
      <c r="I24" s="23">
        <f>MAX(1,ROUNDUP(G24/Input!$B$29,0))</f>
        <v/>
      </c>
      <c r="J24" s="15">
        <f>I24*Input!$B$30</f>
        <v/>
      </c>
      <c r="K24" s="15">
        <f>D24*Input!$B$27</f>
        <v/>
      </c>
      <c r="L24" s="15">
        <f>K24-H24-J24</f>
        <v/>
      </c>
    </row>
    <row r="25">
      <c r="A25" s="35">
        <f>Proyeksi!A14</f>
        <v/>
      </c>
      <c r="B25" s="35">
        <f>Proyeksi!B14</f>
        <v/>
      </c>
      <c r="C25" s="35">
        <f>Proyeksi!C14</f>
        <v/>
      </c>
      <c r="D25" s="17">
        <f>INDEX(Proyeksi!$D14:$F14,Input!$B$15)</f>
        <v/>
      </c>
      <c r="E25" s="23">
        <f>D25-INDEX(Proyeksi!$D13:$F13,Input!$B$15)</f>
        <v/>
      </c>
      <c r="F25" s="23">
        <f>Input!$B$11*INDEX(Proyeksi!$D13:$F13,Input!$B$15)</f>
        <v/>
      </c>
      <c r="G25" s="23">
        <f>E25+F25</f>
        <v/>
      </c>
      <c r="H25" s="15">
        <f>G25*Input!$B$28</f>
        <v/>
      </c>
      <c r="I25" s="23">
        <f>MAX(1,ROUNDUP(G25/Input!$B$29,0))</f>
        <v/>
      </c>
      <c r="J25" s="15">
        <f>I25*Input!$B$30</f>
        <v/>
      </c>
      <c r="K25" s="15">
        <f>D25*Input!$B$27</f>
        <v/>
      </c>
      <c r="L25" s="15">
        <f>K25-H25-J25</f>
        <v/>
      </c>
    </row>
    <row r="26">
      <c r="A26" s="35">
        <f>Proyeksi!A15</f>
        <v/>
      </c>
      <c r="B26" s="35">
        <f>Proyeksi!B15</f>
        <v/>
      </c>
      <c r="C26" s="35">
        <f>Proyeksi!C15</f>
        <v/>
      </c>
      <c r="D26" s="17">
        <f>INDEX(Proyeksi!$D15:$F15,Input!$B$15)</f>
        <v/>
      </c>
      <c r="E26" s="23">
        <f>D26-INDEX(Proyeksi!$D14:$F14,Input!$B$15)</f>
        <v/>
      </c>
      <c r="F26" s="23">
        <f>Input!$B$11*INDEX(Proyeksi!$D14:$F14,Input!$B$15)</f>
        <v/>
      </c>
      <c r="G26" s="23">
        <f>E26+F26</f>
        <v/>
      </c>
      <c r="H26" s="15">
        <f>G26*Input!$B$28</f>
        <v/>
      </c>
      <c r="I26" s="23">
        <f>MAX(1,ROUNDUP(G26/Input!$B$29,0))</f>
        <v/>
      </c>
      <c r="J26" s="15">
        <f>I26*Input!$B$30</f>
        <v/>
      </c>
      <c r="K26" s="15">
        <f>D26*Input!$B$27</f>
        <v/>
      </c>
      <c r="L26" s="15">
        <f>K26-H26-J26</f>
        <v/>
      </c>
    </row>
    <row r="27">
      <c r="A27" s="35">
        <f>Proyeksi!A16</f>
        <v/>
      </c>
      <c r="B27" s="35">
        <f>Proyeksi!B16</f>
        <v/>
      </c>
      <c r="C27" s="35">
        <f>Proyeksi!C16</f>
        <v/>
      </c>
      <c r="D27" s="17">
        <f>INDEX(Proyeksi!$D16:$F16,Input!$B$15)</f>
        <v/>
      </c>
      <c r="E27" s="23">
        <f>D27-INDEX(Proyeksi!$D15:$F15,Input!$B$15)</f>
        <v/>
      </c>
      <c r="F27" s="23">
        <f>Input!$B$11*INDEX(Proyeksi!$D15:$F15,Input!$B$15)</f>
        <v/>
      </c>
      <c r="G27" s="23">
        <f>E27+F27</f>
        <v/>
      </c>
      <c r="H27" s="15">
        <f>G27*Input!$B$28</f>
        <v/>
      </c>
      <c r="I27" s="23">
        <f>MAX(1,ROUNDUP(G27/Input!$B$29,0))</f>
        <v/>
      </c>
      <c r="J27" s="15">
        <f>I27*Input!$B$30</f>
        <v/>
      </c>
      <c r="K27" s="15">
        <f>D27*Input!$B$27</f>
        <v/>
      </c>
      <c r="L27" s="15">
        <f>K27-H27-J27</f>
        <v/>
      </c>
    </row>
    <row r="28">
      <c r="A28" s="35">
        <f>Proyeksi!A17</f>
        <v/>
      </c>
      <c r="B28" s="35">
        <f>Proyeksi!B17</f>
        <v/>
      </c>
      <c r="C28" s="35">
        <f>Proyeksi!C17</f>
        <v/>
      </c>
      <c r="D28" s="17">
        <f>INDEX(Proyeksi!$D17:$F17,Input!$B$15)</f>
        <v/>
      </c>
      <c r="E28" s="23">
        <f>D28-INDEX(Proyeksi!$D16:$F16,Input!$B$15)</f>
        <v/>
      </c>
      <c r="F28" s="23">
        <f>Input!$B$11*INDEX(Proyeksi!$D16:$F16,Input!$B$15)</f>
        <v/>
      </c>
      <c r="G28" s="23">
        <f>E28+F28</f>
        <v/>
      </c>
      <c r="H28" s="15">
        <f>G28*Input!$B$28</f>
        <v/>
      </c>
      <c r="I28" s="23">
        <f>MAX(1,ROUNDUP(G28/Input!$B$29,0))</f>
        <v/>
      </c>
      <c r="J28" s="15">
        <f>I28*Input!$B$30</f>
        <v/>
      </c>
      <c r="K28" s="15">
        <f>D28*Input!$B$27</f>
        <v/>
      </c>
      <c r="L28" s="15">
        <f>K28-H28-J28</f>
        <v/>
      </c>
    </row>
    <row r="29">
      <c r="A29" s="35">
        <f>Proyeksi!A18</f>
        <v/>
      </c>
      <c r="B29" s="35">
        <f>Proyeksi!B18</f>
        <v/>
      </c>
      <c r="C29" s="35">
        <f>Proyeksi!C18</f>
        <v/>
      </c>
      <c r="D29" s="17">
        <f>INDEX(Proyeksi!$D18:$F18,Input!$B$15)</f>
        <v/>
      </c>
      <c r="E29" s="23">
        <f>D29-INDEX(Proyeksi!$D17:$F17,Input!$B$15)</f>
        <v/>
      </c>
      <c r="F29" s="23">
        <f>Input!$B$11*INDEX(Proyeksi!$D17:$F17,Input!$B$15)</f>
        <v/>
      </c>
      <c r="G29" s="23">
        <f>E29+F29</f>
        <v/>
      </c>
      <c r="H29" s="15">
        <f>G29*Input!$B$28</f>
        <v/>
      </c>
      <c r="I29" s="23">
        <f>MAX(1,ROUNDUP(G29/Input!$B$29,0))</f>
        <v/>
      </c>
      <c r="J29" s="15">
        <f>I29*Input!$B$30</f>
        <v/>
      </c>
      <c r="K29" s="15">
        <f>D29*Input!$B$27</f>
        <v/>
      </c>
      <c r="L29" s="15">
        <f>K29-H29-J29</f>
        <v/>
      </c>
    </row>
    <row r="30">
      <c r="A30" s="35">
        <f>Proyeksi!A19</f>
        <v/>
      </c>
      <c r="B30" s="35">
        <f>Proyeksi!B19</f>
        <v/>
      </c>
      <c r="C30" s="35">
        <f>Proyeksi!C19</f>
        <v/>
      </c>
      <c r="D30" s="17">
        <f>INDEX(Proyeksi!$D19:$F19,Input!$B$15)</f>
        <v/>
      </c>
      <c r="E30" s="23">
        <f>D30-INDEX(Proyeksi!$D18:$F18,Input!$B$15)</f>
        <v/>
      </c>
      <c r="F30" s="23">
        <f>Input!$B$11*INDEX(Proyeksi!$D18:$F18,Input!$B$15)</f>
        <v/>
      </c>
      <c r="G30" s="23">
        <f>E30+F30</f>
        <v/>
      </c>
      <c r="H30" s="15">
        <f>G30*Input!$B$28</f>
        <v/>
      </c>
      <c r="I30" s="23">
        <f>MAX(1,ROUNDUP(G30/Input!$B$29,0))</f>
        <v/>
      </c>
      <c r="J30" s="15">
        <f>I30*Input!$B$30</f>
        <v/>
      </c>
      <c r="K30" s="15">
        <f>D30*Input!$B$27</f>
        <v/>
      </c>
      <c r="L30" s="15">
        <f>K30-H30-J30</f>
        <v/>
      </c>
    </row>
    <row r="31">
      <c r="A31" s="35">
        <f>Proyeksi!A20</f>
        <v/>
      </c>
      <c r="B31" s="35">
        <f>Proyeksi!B20</f>
        <v/>
      </c>
      <c r="C31" s="35">
        <f>Proyeksi!C20</f>
        <v/>
      </c>
      <c r="D31" s="17">
        <f>INDEX(Proyeksi!$D20:$F20,Input!$B$15)</f>
        <v/>
      </c>
      <c r="E31" s="23">
        <f>D31-INDEX(Proyeksi!$D19:$F19,Input!$B$15)</f>
        <v/>
      </c>
      <c r="F31" s="23">
        <f>Input!$B$11*INDEX(Proyeksi!$D19:$F19,Input!$B$15)</f>
        <v/>
      </c>
      <c r="G31" s="23">
        <f>E31+F31</f>
        <v/>
      </c>
      <c r="H31" s="15">
        <f>G31*Input!$B$28</f>
        <v/>
      </c>
      <c r="I31" s="23">
        <f>MAX(1,ROUNDUP(G31/Input!$B$29,0))</f>
        <v/>
      </c>
      <c r="J31" s="15">
        <f>I31*Input!$B$30</f>
        <v/>
      </c>
      <c r="K31" s="15">
        <f>D31*Input!$B$27</f>
        <v/>
      </c>
      <c r="L31" s="15">
        <f>K31-H31-J31</f>
        <v/>
      </c>
    </row>
    <row r="32">
      <c r="A32" s="35">
        <f>Proyeksi!A21</f>
        <v/>
      </c>
      <c r="B32" s="35">
        <f>Proyeksi!B21</f>
        <v/>
      </c>
      <c r="C32" s="35">
        <f>Proyeksi!C21</f>
        <v/>
      </c>
      <c r="D32" s="17">
        <f>INDEX(Proyeksi!$D21:$F21,Input!$B$15)</f>
        <v/>
      </c>
      <c r="E32" s="23">
        <f>D32-INDEX(Proyeksi!$D20:$F20,Input!$B$15)</f>
        <v/>
      </c>
      <c r="F32" s="23">
        <f>Input!$B$11*INDEX(Proyeksi!$D20:$F20,Input!$B$15)</f>
        <v/>
      </c>
      <c r="G32" s="23">
        <f>E32+F32</f>
        <v/>
      </c>
      <c r="H32" s="15">
        <f>G32*Input!$B$28</f>
        <v/>
      </c>
      <c r="I32" s="23">
        <f>MAX(1,ROUNDUP(G32/Input!$B$29,0))</f>
        <v/>
      </c>
      <c r="J32" s="15">
        <f>I32*Input!$B$30</f>
        <v/>
      </c>
      <c r="K32" s="15">
        <f>D32*Input!$B$27</f>
        <v/>
      </c>
      <c r="L32" s="15">
        <f>K32-H32-J32</f>
        <v/>
      </c>
    </row>
    <row r="33">
      <c r="A33" s="35">
        <f>Proyeksi!A22</f>
        <v/>
      </c>
      <c r="B33" s="35">
        <f>Proyeksi!B22</f>
        <v/>
      </c>
      <c r="C33" s="35">
        <f>Proyeksi!C22</f>
        <v/>
      </c>
      <c r="D33" s="17">
        <f>INDEX(Proyeksi!$D22:$F22,Input!$B$15)</f>
        <v/>
      </c>
      <c r="E33" s="23">
        <f>D33-INDEX(Proyeksi!$D21:$F21,Input!$B$15)</f>
        <v/>
      </c>
      <c r="F33" s="23">
        <f>Input!$B$11*INDEX(Proyeksi!$D21:$F21,Input!$B$15)</f>
        <v/>
      </c>
      <c r="G33" s="23">
        <f>E33+F33</f>
        <v/>
      </c>
      <c r="H33" s="15">
        <f>G33*Input!$B$28</f>
        <v/>
      </c>
      <c r="I33" s="23">
        <f>MAX(1,ROUNDUP(G33/Input!$B$29,0))</f>
        <v/>
      </c>
      <c r="J33" s="15">
        <f>I33*Input!$B$30</f>
        <v/>
      </c>
      <c r="K33" s="15">
        <f>D33*Input!$B$27</f>
        <v/>
      </c>
      <c r="L33" s="15">
        <f>K33-H33-J33</f>
        <v/>
      </c>
    </row>
    <row r="34">
      <c r="A34" s="35">
        <f>Proyeksi!A23</f>
        <v/>
      </c>
      <c r="B34" s="35">
        <f>Proyeksi!B23</f>
        <v/>
      </c>
      <c r="C34" s="35">
        <f>Proyeksi!C23</f>
        <v/>
      </c>
      <c r="D34" s="17">
        <f>INDEX(Proyeksi!$D23:$F23,Input!$B$15)</f>
        <v/>
      </c>
      <c r="E34" s="23">
        <f>D34-INDEX(Proyeksi!$D22:$F22,Input!$B$15)</f>
        <v/>
      </c>
      <c r="F34" s="23">
        <f>Input!$B$11*INDEX(Proyeksi!$D22:$F22,Input!$B$15)</f>
        <v/>
      </c>
      <c r="G34" s="23">
        <f>E34+F34</f>
        <v/>
      </c>
      <c r="H34" s="15">
        <f>G34*Input!$B$28</f>
        <v/>
      </c>
      <c r="I34" s="23">
        <f>MAX(1,ROUNDUP(G34/Input!$B$29,0))</f>
        <v/>
      </c>
      <c r="J34" s="15">
        <f>I34*Input!$B$30</f>
        <v/>
      </c>
      <c r="K34" s="15">
        <f>D34*Input!$B$27</f>
        <v/>
      </c>
      <c r="L34" s="15">
        <f>K34-H34-J34</f>
        <v/>
      </c>
    </row>
    <row r="35">
      <c r="A35" s="35">
        <f>Proyeksi!A24</f>
        <v/>
      </c>
      <c r="B35" s="35">
        <f>Proyeksi!B24</f>
        <v/>
      </c>
      <c r="C35" s="35">
        <f>Proyeksi!C24</f>
        <v/>
      </c>
      <c r="D35" s="17">
        <f>INDEX(Proyeksi!$D24:$F24,Input!$B$15)</f>
        <v/>
      </c>
      <c r="E35" s="23">
        <f>D35-INDEX(Proyeksi!$D23:$F23,Input!$B$15)</f>
        <v/>
      </c>
      <c r="F35" s="23">
        <f>Input!$B$11*INDEX(Proyeksi!$D23:$F23,Input!$B$15)</f>
        <v/>
      </c>
      <c r="G35" s="23">
        <f>E35+F35</f>
        <v/>
      </c>
      <c r="H35" s="15">
        <f>G35*Input!$B$28</f>
        <v/>
      </c>
      <c r="I35" s="23">
        <f>MAX(1,ROUNDUP(G35/Input!$B$29,0))</f>
        <v/>
      </c>
      <c r="J35" s="15">
        <f>I35*Input!$B$30</f>
        <v/>
      </c>
      <c r="K35" s="15">
        <f>D35*Input!$B$27</f>
        <v/>
      </c>
      <c r="L35" s="15">
        <f>K35-H35-J35</f>
        <v/>
      </c>
    </row>
    <row r="36">
      <c r="A36" s="35">
        <f>Proyeksi!A25</f>
        <v/>
      </c>
      <c r="B36" s="35">
        <f>Proyeksi!B25</f>
        <v/>
      </c>
      <c r="C36" s="35">
        <f>Proyeksi!C25</f>
        <v/>
      </c>
      <c r="D36" s="17">
        <f>INDEX(Proyeksi!$D25:$F25,Input!$B$15)</f>
        <v/>
      </c>
      <c r="E36" s="23">
        <f>D36-INDEX(Proyeksi!$D24:$F24,Input!$B$15)</f>
        <v/>
      </c>
      <c r="F36" s="23">
        <f>Input!$B$11*INDEX(Proyeksi!$D24:$F24,Input!$B$15)</f>
        <v/>
      </c>
      <c r="G36" s="23">
        <f>E36+F36</f>
        <v/>
      </c>
      <c r="H36" s="15">
        <f>G36*Input!$B$28</f>
        <v/>
      </c>
      <c r="I36" s="23">
        <f>MAX(1,ROUNDUP(G36/Input!$B$29,0))</f>
        <v/>
      </c>
      <c r="J36" s="15">
        <f>I36*Input!$B$30</f>
        <v/>
      </c>
      <c r="K36" s="15">
        <f>D36*Input!$B$27</f>
        <v/>
      </c>
      <c r="L36" s="15">
        <f>K36-H36-J36</f>
        <v/>
      </c>
    </row>
    <row r="37">
      <c r="A37" s="35">
        <f>Proyeksi!A26</f>
        <v/>
      </c>
      <c r="B37" s="35">
        <f>Proyeksi!B26</f>
        <v/>
      </c>
      <c r="C37" s="35">
        <f>Proyeksi!C26</f>
        <v/>
      </c>
      <c r="D37" s="17">
        <f>INDEX(Proyeksi!$D26:$F26,Input!$B$15)</f>
        <v/>
      </c>
      <c r="E37" s="23">
        <f>D37-INDEX(Proyeksi!$D25:$F25,Input!$B$15)</f>
        <v/>
      </c>
      <c r="F37" s="23">
        <f>Input!$B$11*INDEX(Proyeksi!$D25:$F25,Input!$B$15)</f>
        <v/>
      </c>
      <c r="G37" s="23">
        <f>E37+F37</f>
        <v/>
      </c>
      <c r="H37" s="15">
        <f>G37*Input!$B$28</f>
        <v/>
      </c>
      <c r="I37" s="23">
        <f>MAX(1,ROUNDUP(G37/Input!$B$29,0))</f>
        <v/>
      </c>
      <c r="J37" s="15">
        <f>I37*Input!$B$30</f>
        <v/>
      </c>
      <c r="K37" s="15">
        <f>D37*Input!$B$27</f>
        <v/>
      </c>
      <c r="L37" s="15">
        <f>K37-H37-J37</f>
        <v/>
      </c>
    </row>
    <row r="38">
      <c r="A38" s="35">
        <f>Proyeksi!A27</f>
        <v/>
      </c>
      <c r="B38" s="35">
        <f>Proyeksi!B27</f>
        <v/>
      </c>
      <c r="C38" s="35">
        <f>Proyeksi!C27</f>
        <v/>
      </c>
      <c r="D38" s="17">
        <f>INDEX(Proyeksi!$D27:$F27,Input!$B$15)</f>
        <v/>
      </c>
      <c r="E38" s="23">
        <f>D38-INDEX(Proyeksi!$D26:$F26,Input!$B$15)</f>
        <v/>
      </c>
      <c r="F38" s="23">
        <f>Input!$B$11*INDEX(Proyeksi!$D26:$F26,Input!$B$15)</f>
        <v/>
      </c>
      <c r="G38" s="23">
        <f>E38+F38</f>
        <v/>
      </c>
      <c r="H38" s="15">
        <f>G38*Input!$B$28</f>
        <v/>
      </c>
      <c r="I38" s="23">
        <f>MAX(1,ROUNDUP(G38/Input!$B$29,0))</f>
        <v/>
      </c>
      <c r="J38" s="15">
        <f>I38*Input!$B$30</f>
        <v/>
      </c>
      <c r="K38" s="15">
        <f>D38*Input!$B$27</f>
        <v/>
      </c>
      <c r="L38" s="15">
        <f>K38-H38-J38</f>
        <v/>
      </c>
    </row>
    <row r="39">
      <c r="A39" s="35">
        <f>Proyeksi!A28</f>
        <v/>
      </c>
      <c r="B39" s="35">
        <f>Proyeksi!B28</f>
        <v/>
      </c>
      <c r="C39" s="35">
        <f>Proyeksi!C28</f>
        <v/>
      </c>
      <c r="D39" s="17">
        <f>INDEX(Proyeksi!$D28:$F28,Input!$B$15)</f>
        <v/>
      </c>
      <c r="E39" s="23">
        <f>D39-INDEX(Proyeksi!$D27:$F27,Input!$B$15)</f>
        <v/>
      </c>
      <c r="F39" s="23">
        <f>Input!$B$11*INDEX(Proyeksi!$D27:$F27,Input!$B$15)</f>
        <v/>
      </c>
      <c r="G39" s="23">
        <f>E39+F39</f>
        <v/>
      </c>
      <c r="H39" s="15">
        <f>G39*Input!$B$28</f>
        <v/>
      </c>
      <c r="I39" s="23">
        <f>MAX(1,ROUNDUP(G39/Input!$B$29,0))</f>
        <v/>
      </c>
      <c r="J39" s="15">
        <f>I39*Input!$B$30</f>
        <v/>
      </c>
      <c r="K39" s="15">
        <f>D39*Input!$B$27</f>
        <v/>
      </c>
      <c r="L39" s="15">
        <f>K39-H39-J39</f>
        <v/>
      </c>
    </row>
    <row r="40">
      <c r="A40" s="35">
        <f>Proyeksi!A29</f>
        <v/>
      </c>
      <c r="B40" s="35">
        <f>Proyeksi!B29</f>
        <v/>
      </c>
      <c r="C40" s="35">
        <f>Proyeksi!C29</f>
        <v/>
      </c>
      <c r="D40" s="17">
        <f>INDEX(Proyeksi!$D29:$F29,Input!$B$15)</f>
        <v/>
      </c>
      <c r="E40" s="23">
        <f>D40-INDEX(Proyeksi!$D28:$F28,Input!$B$15)</f>
        <v/>
      </c>
      <c r="F40" s="23">
        <f>Input!$B$11*INDEX(Proyeksi!$D28:$F28,Input!$B$15)</f>
        <v/>
      </c>
      <c r="G40" s="23">
        <f>E40+F40</f>
        <v/>
      </c>
      <c r="H40" s="15">
        <f>G40*Input!$B$28</f>
        <v/>
      </c>
      <c r="I40" s="23">
        <f>MAX(1,ROUNDUP(G40/Input!$B$29,0))</f>
        <v/>
      </c>
      <c r="J40" s="15">
        <f>I40*Input!$B$30</f>
        <v/>
      </c>
      <c r="K40" s="15">
        <f>D40*Input!$B$27</f>
        <v/>
      </c>
      <c r="L40" s="15">
        <f>K40-H40-J40</f>
        <v/>
      </c>
    </row>
    <row r="41">
      <c r="A41" s="35">
        <f>Proyeksi!A30</f>
        <v/>
      </c>
      <c r="B41" s="35">
        <f>Proyeksi!B30</f>
        <v/>
      </c>
      <c r="C41" s="35">
        <f>Proyeksi!C30</f>
        <v/>
      </c>
      <c r="D41" s="17">
        <f>INDEX(Proyeksi!$D30:$F30,Input!$B$15)</f>
        <v/>
      </c>
      <c r="E41" s="23">
        <f>D41-INDEX(Proyeksi!$D29:$F29,Input!$B$15)</f>
        <v/>
      </c>
      <c r="F41" s="23">
        <f>Input!$B$11*INDEX(Proyeksi!$D29:$F29,Input!$B$15)</f>
        <v/>
      </c>
      <c r="G41" s="23">
        <f>E41+F41</f>
        <v/>
      </c>
      <c r="H41" s="15">
        <f>G41*Input!$B$28</f>
        <v/>
      </c>
      <c r="I41" s="23">
        <f>MAX(1,ROUNDUP(G41/Input!$B$29,0))</f>
        <v/>
      </c>
      <c r="J41" s="15">
        <f>I41*Input!$B$30</f>
        <v/>
      </c>
      <c r="K41" s="15">
        <f>D41*Input!$B$27</f>
        <v/>
      </c>
      <c r="L41" s="15">
        <f>K41-H41-J41</f>
        <v/>
      </c>
    </row>
    <row r="42">
      <c r="A42" s="35">
        <f>Proyeksi!A31</f>
        <v/>
      </c>
      <c r="B42" s="35">
        <f>Proyeksi!B31</f>
        <v/>
      </c>
      <c r="C42" s="35">
        <f>Proyeksi!C31</f>
        <v/>
      </c>
      <c r="D42" s="17">
        <f>INDEX(Proyeksi!$D31:$F31,Input!$B$15)</f>
        <v/>
      </c>
      <c r="E42" s="23">
        <f>D42-INDEX(Proyeksi!$D30:$F30,Input!$B$15)</f>
        <v/>
      </c>
      <c r="F42" s="23">
        <f>Input!$B$11*INDEX(Proyeksi!$D30:$F30,Input!$B$15)</f>
        <v/>
      </c>
      <c r="G42" s="23">
        <f>E42+F42</f>
        <v/>
      </c>
      <c r="H42" s="15">
        <f>G42*Input!$B$28</f>
        <v/>
      </c>
      <c r="I42" s="23">
        <f>MAX(1,ROUNDUP(G42/Input!$B$29,0))</f>
        <v/>
      </c>
      <c r="J42" s="15">
        <f>I42*Input!$B$30</f>
        <v/>
      </c>
      <c r="K42" s="15">
        <f>D42*Input!$B$27</f>
        <v/>
      </c>
      <c r="L42" s="15">
        <f>K42-H42-J42</f>
        <v/>
      </c>
    </row>
    <row r="43">
      <c r="A43" s="35">
        <f>Proyeksi!A32</f>
        <v/>
      </c>
      <c r="B43" s="35">
        <f>Proyeksi!B32</f>
        <v/>
      </c>
      <c r="C43" s="35">
        <f>Proyeksi!C32</f>
        <v/>
      </c>
      <c r="D43" s="17">
        <f>INDEX(Proyeksi!$D32:$F32,Input!$B$15)</f>
        <v/>
      </c>
      <c r="E43" s="23">
        <f>D43-INDEX(Proyeksi!$D31:$F31,Input!$B$15)</f>
        <v/>
      </c>
      <c r="F43" s="23">
        <f>Input!$B$11*INDEX(Proyeksi!$D31:$F31,Input!$B$15)</f>
        <v/>
      </c>
      <c r="G43" s="23">
        <f>E43+F43</f>
        <v/>
      </c>
      <c r="H43" s="15">
        <f>G43*Input!$B$28</f>
        <v/>
      </c>
      <c r="I43" s="23">
        <f>MAX(1,ROUNDUP(G43/Input!$B$29,0))</f>
        <v/>
      </c>
      <c r="J43" s="15">
        <f>I43*Input!$B$30</f>
        <v/>
      </c>
      <c r="K43" s="15">
        <f>D43*Input!$B$27</f>
        <v/>
      </c>
      <c r="L43" s="15">
        <f>K43-H43-J43</f>
        <v/>
      </c>
    </row>
    <row r="44">
      <c r="A44" s="35">
        <f>Proyeksi!A33</f>
        <v/>
      </c>
      <c r="B44" s="35">
        <f>Proyeksi!B33</f>
        <v/>
      </c>
      <c r="C44" s="35">
        <f>Proyeksi!C33</f>
        <v/>
      </c>
      <c r="D44" s="17">
        <f>INDEX(Proyeksi!$D33:$F33,Input!$B$15)</f>
        <v/>
      </c>
      <c r="E44" s="23">
        <f>D44-INDEX(Proyeksi!$D32:$F32,Input!$B$15)</f>
        <v/>
      </c>
      <c r="F44" s="23">
        <f>Input!$B$11*INDEX(Proyeksi!$D32:$F32,Input!$B$15)</f>
        <v/>
      </c>
      <c r="G44" s="23">
        <f>E44+F44</f>
        <v/>
      </c>
      <c r="H44" s="15">
        <f>G44*Input!$B$28</f>
        <v/>
      </c>
      <c r="I44" s="23">
        <f>MAX(1,ROUNDUP(G44/Input!$B$29,0))</f>
        <v/>
      </c>
      <c r="J44" s="15">
        <f>I44*Input!$B$30</f>
        <v/>
      </c>
      <c r="K44" s="15">
        <f>D44*Input!$B$27</f>
        <v/>
      </c>
      <c r="L44" s="15">
        <f>K44-H44-J44</f>
        <v/>
      </c>
    </row>
    <row r="45">
      <c r="A45" s="35">
        <f>Proyeksi!A34</f>
        <v/>
      </c>
      <c r="B45" s="35">
        <f>Proyeksi!B34</f>
        <v/>
      </c>
      <c r="C45" s="35">
        <f>Proyeksi!C34</f>
        <v/>
      </c>
      <c r="D45" s="17">
        <f>INDEX(Proyeksi!$D34:$F34,Input!$B$15)</f>
        <v/>
      </c>
      <c r="E45" s="23">
        <f>D45-INDEX(Proyeksi!$D33:$F33,Input!$B$15)</f>
        <v/>
      </c>
      <c r="F45" s="23">
        <f>Input!$B$11*INDEX(Proyeksi!$D33:$F33,Input!$B$15)</f>
        <v/>
      </c>
      <c r="G45" s="23">
        <f>E45+F45</f>
        <v/>
      </c>
      <c r="H45" s="15">
        <f>G45*Input!$B$28</f>
        <v/>
      </c>
      <c r="I45" s="23">
        <f>MAX(1,ROUNDUP(G45/Input!$B$29,0))</f>
        <v/>
      </c>
      <c r="J45" s="15">
        <f>I45*Input!$B$30</f>
        <v/>
      </c>
      <c r="K45" s="15">
        <f>D45*Input!$B$27</f>
        <v/>
      </c>
      <c r="L45" s="15">
        <f>K45-H45-J45</f>
        <v/>
      </c>
    </row>
    <row r="46">
      <c r="A46" s="35">
        <f>Proyeksi!A35</f>
        <v/>
      </c>
      <c r="B46" s="35">
        <f>Proyeksi!B35</f>
        <v/>
      </c>
      <c r="C46" s="35">
        <f>Proyeksi!C35</f>
        <v/>
      </c>
      <c r="D46" s="17">
        <f>INDEX(Proyeksi!$D35:$F35,Input!$B$15)</f>
        <v/>
      </c>
      <c r="E46" s="23">
        <f>D46-INDEX(Proyeksi!$D34:$F34,Input!$B$15)</f>
        <v/>
      </c>
      <c r="F46" s="23">
        <f>Input!$B$11*INDEX(Proyeksi!$D34:$F34,Input!$B$15)</f>
        <v/>
      </c>
      <c r="G46" s="23">
        <f>E46+F46</f>
        <v/>
      </c>
      <c r="H46" s="15">
        <f>G46*Input!$B$28</f>
        <v/>
      </c>
      <c r="I46" s="23">
        <f>MAX(1,ROUNDUP(G46/Input!$B$29,0))</f>
        <v/>
      </c>
      <c r="J46" s="15">
        <f>I46*Input!$B$30</f>
        <v/>
      </c>
      <c r="K46" s="15">
        <f>D46*Input!$B$27</f>
        <v/>
      </c>
      <c r="L46" s="15">
        <f>K46-H46-J46</f>
        <v/>
      </c>
    </row>
    <row r="47">
      <c r="A47" s="35">
        <f>Proyeksi!A36</f>
        <v/>
      </c>
      <c r="B47" s="35">
        <f>Proyeksi!B36</f>
        <v/>
      </c>
      <c r="C47" s="35">
        <f>Proyeksi!C36</f>
        <v/>
      </c>
      <c r="D47" s="17">
        <f>INDEX(Proyeksi!$D36:$F36,Input!$B$15)</f>
        <v/>
      </c>
      <c r="E47" s="23">
        <f>D47-INDEX(Proyeksi!$D35:$F35,Input!$B$15)</f>
        <v/>
      </c>
      <c r="F47" s="23">
        <f>Input!$B$11*INDEX(Proyeksi!$D35:$F35,Input!$B$15)</f>
        <v/>
      </c>
      <c r="G47" s="23">
        <f>E47+F47</f>
        <v/>
      </c>
      <c r="H47" s="15">
        <f>G47*Input!$B$28</f>
        <v/>
      </c>
      <c r="I47" s="23">
        <f>MAX(1,ROUNDUP(G47/Input!$B$29,0))</f>
        <v/>
      </c>
      <c r="J47" s="15">
        <f>I47*Input!$B$30</f>
        <v/>
      </c>
      <c r="K47" s="15">
        <f>D47*Input!$B$27</f>
        <v/>
      </c>
      <c r="L47" s="15">
        <f>K47-H47-J47</f>
        <v/>
      </c>
    </row>
    <row r="48">
      <c r="A48" s="35">
        <f>Proyeksi!A37</f>
        <v/>
      </c>
      <c r="B48" s="35">
        <f>Proyeksi!B37</f>
        <v/>
      </c>
      <c r="C48" s="35">
        <f>Proyeksi!C37</f>
        <v/>
      </c>
      <c r="D48" s="17">
        <f>INDEX(Proyeksi!$D37:$F37,Input!$B$15)</f>
        <v/>
      </c>
      <c r="E48" s="23">
        <f>D48-INDEX(Proyeksi!$D36:$F36,Input!$B$15)</f>
        <v/>
      </c>
      <c r="F48" s="23">
        <f>Input!$B$11*INDEX(Proyeksi!$D36:$F36,Input!$B$15)</f>
        <v/>
      </c>
      <c r="G48" s="23">
        <f>E48+F48</f>
        <v/>
      </c>
      <c r="H48" s="15">
        <f>G48*Input!$B$28</f>
        <v/>
      </c>
      <c r="I48" s="23">
        <f>MAX(1,ROUNDUP(G48/Input!$B$29,0))</f>
        <v/>
      </c>
      <c r="J48" s="15">
        <f>I48*Input!$B$30</f>
        <v/>
      </c>
      <c r="K48" s="15">
        <f>D48*Input!$B$27</f>
        <v/>
      </c>
      <c r="L48" s="15">
        <f>K48-H48-J48</f>
        <v/>
      </c>
    </row>
    <row r="49">
      <c r="A49" s="35">
        <f>Proyeksi!A38</f>
        <v/>
      </c>
      <c r="B49" s="35">
        <f>Proyeksi!B38</f>
        <v/>
      </c>
      <c r="C49" s="35">
        <f>Proyeksi!C38</f>
        <v/>
      </c>
      <c r="D49" s="17">
        <f>INDEX(Proyeksi!$D38:$F38,Input!$B$15)</f>
        <v/>
      </c>
      <c r="E49" s="23">
        <f>D49-INDEX(Proyeksi!$D37:$F37,Input!$B$15)</f>
        <v/>
      </c>
      <c r="F49" s="23">
        <f>Input!$B$11*INDEX(Proyeksi!$D37:$F37,Input!$B$15)</f>
        <v/>
      </c>
      <c r="G49" s="23">
        <f>E49+F49</f>
        <v/>
      </c>
      <c r="H49" s="15">
        <f>G49*Input!$B$28</f>
        <v/>
      </c>
      <c r="I49" s="23">
        <f>MAX(1,ROUNDUP(G49/Input!$B$29,0))</f>
        <v/>
      </c>
      <c r="J49" s="15">
        <f>I49*Input!$B$30</f>
        <v/>
      </c>
      <c r="K49" s="15">
        <f>D49*Input!$B$27</f>
        <v/>
      </c>
      <c r="L49" s="15">
        <f>K49-H49-J49</f>
        <v/>
      </c>
    </row>
    <row r="50">
      <c r="A50" s="35">
        <f>Proyeksi!A39</f>
        <v/>
      </c>
      <c r="B50" s="35">
        <f>Proyeksi!B39</f>
        <v/>
      </c>
      <c r="C50" s="35">
        <f>Proyeksi!C39</f>
        <v/>
      </c>
      <c r="D50" s="17">
        <f>INDEX(Proyeksi!$D39:$F39,Input!$B$15)</f>
        <v/>
      </c>
      <c r="E50" s="23">
        <f>D50-INDEX(Proyeksi!$D38:$F38,Input!$B$15)</f>
        <v/>
      </c>
      <c r="F50" s="23">
        <f>Input!$B$11*INDEX(Proyeksi!$D38:$F38,Input!$B$15)</f>
        <v/>
      </c>
      <c r="G50" s="23">
        <f>E50+F50</f>
        <v/>
      </c>
      <c r="H50" s="15">
        <f>G50*Input!$B$28</f>
        <v/>
      </c>
      <c r="I50" s="23">
        <f>MAX(1,ROUNDUP(G50/Input!$B$29,0))</f>
        <v/>
      </c>
      <c r="J50" s="15">
        <f>I50*Input!$B$30</f>
        <v/>
      </c>
      <c r="K50" s="15">
        <f>D50*Input!$B$27</f>
        <v/>
      </c>
      <c r="L50" s="15">
        <f>K50-H50-J50</f>
        <v/>
      </c>
    </row>
    <row r="51">
      <c r="A51" s="35">
        <f>Proyeksi!A40</f>
        <v/>
      </c>
      <c r="B51" s="35">
        <f>Proyeksi!B40</f>
        <v/>
      </c>
      <c r="C51" s="35">
        <f>Proyeksi!C40</f>
        <v/>
      </c>
      <c r="D51" s="17">
        <f>INDEX(Proyeksi!$D40:$F40,Input!$B$15)</f>
        <v/>
      </c>
      <c r="E51" s="23">
        <f>D51-INDEX(Proyeksi!$D39:$F39,Input!$B$15)</f>
        <v/>
      </c>
      <c r="F51" s="23">
        <f>Input!$B$11*INDEX(Proyeksi!$D39:$F39,Input!$B$15)</f>
        <v/>
      </c>
      <c r="G51" s="23">
        <f>E51+F51</f>
        <v/>
      </c>
      <c r="H51" s="15">
        <f>G51*Input!$B$28</f>
        <v/>
      </c>
      <c r="I51" s="23">
        <f>MAX(1,ROUNDUP(G51/Input!$B$29,0))</f>
        <v/>
      </c>
      <c r="J51" s="15">
        <f>I51*Input!$B$30</f>
        <v/>
      </c>
      <c r="K51" s="15">
        <f>D51*Input!$B$27</f>
        <v/>
      </c>
      <c r="L51" s="15">
        <f>K51-H51-J51</f>
        <v/>
      </c>
    </row>
    <row r="52">
      <c r="A52" s="35">
        <f>Proyeksi!A41</f>
        <v/>
      </c>
      <c r="B52" s="35">
        <f>Proyeksi!B41</f>
        <v/>
      </c>
      <c r="C52" s="35">
        <f>Proyeksi!C41</f>
        <v/>
      </c>
      <c r="D52" s="17">
        <f>INDEX(Proyeksi!$D41:$F41,Input!$B$15)</f>
        <v/>
      </c>
      <c r="E52" s="23">
        <f>D52-INDEX(Proyeksi!$D40:$F40,Input!$B$15)</f>
        <v/>
      </c>
      <c r="F52" s="23">
        <f>Input!$B$11*INDEX(Proyeksi!$D40:$F40,Input!$B$15)</f>
        <v/>
      </c>
      <c r="G52" s="23">
        <f>E52+F52</f>
        <v/>
      </c>
      <c r="H52" s="15">
        <f>G52*Input!$B$28</f>
        <v/>
      </c>
      <c r="I52" s="23">
        <f>MAX(1,ROUNDUP(G52/Input!$B$29,0))</f>
        <v/>
      </c>
      <c r="J52" s="15">
        <f>I52*Input!$B$30</f>
        <v/>
      </c>
      <c r="K52" s="15">
        <f>D52*Input!$B$27</f>
        <v/>
      </c>
      <c r="L52" s="15">
        <f>K52-H52-J52</f>
        <v/>
      </c>
    </row>
    <row r="53">
      <c r="A53" s="35">
        <f>Proyeksi!A42</f>
        <v/>
      </c>
      <c r="B53" s="35">
        <f>Proyeksi!B42</f>
        <v/>
      </c>
      <c r="C53" s="35">
        <f>Proyeksi!C42</f>
        <v/>
      </c>
      <c r="D53" s="17">
        <f>INDEX(Proyeksi!$D42:$F42,Input!$B$15)</f>
        <v/>
      </c>
      <c r="E53" s="23">
        <f>D53-INDEX(Proyeksi!$D41:$F41,Input!$B$15)</f>
        <v/>
      </c>
      <c r="F53" s="23">
        <f>Input!$B$11*INDEX(Proyeksi!$D41:$F41,Input!$B$15)</f>
        <v/>
      </c>
      <c r="G53" s="23">
        <f>E53+F53</f>
        <v/>
      </c>
      <c r="H53" s="15">
        <f>G53*Input!$B$28</f>
        <v/>
      </c>
      <c r="I53" s="23">
        <f>MAX(1,ROUNDUP(G53/Input!$B$29,0))</f>
        <v/>
      </c>
      <c r="J53" s="15">
        <f>I53*Input!$B$30</f>
        <v/>
      </c>
      <c r="K53" s="15">
        <f>D53*Input!$B$27</f>
        <v/>
      </c>
      <c r="L53" s="15">
        <f>K53-H53-J53</f>
        <v/>
      </c>
    </row>
    <row r="54">
      <c r="A54" s="35">
        <f>Proyeksi!A43</f>
        <v/>
      </c>
      <c r="B54" s="35">
        <f>Proyeksi!B43</f>
        <v/>
      </c>
      <c r="C54" s="35">
        <f>Proyeksi!C43</f>
        <v/>
      </c>
      <c r="D54" s="17">
        <f>INDEX(Proyeksi!$D43:$F43,Input!$B$15)</f>
        <v/>
      </c>
      <c r="E54" s="23">
        <f>D54-INDEX(Proyeksi!$D42:$F42,Input!$B$15)</f>
        <v/>
      </c>
      <c r="F54" s="23">
        <f>Input!$B$11*INDEX(Proyeksi!$D42:$F42,Input!$B$15)</f>
        <v/>
      </c>
      <c r="G54" s="23">
        <f>E54+F54</f>
        <v/>
      </c>
      <c r="H54" s="15">
        <f>G54*Input!$B$28</f>
        <v/>
      </c>
      <c r="I54" s="23">
        <f>MAX(1,ROUNDUP(G54/Input!$B$29,0))</f>
        <v/>
      </c>
      <c r="J54" s="15">
        <f>I54*Input!$B$30</f>
        <v/>
      </c>
      <c r="K54" s="15">
        <f>D54*Input!$B$27</f>
        <v/>
      </c>
      <c r="L54" s="15">
        <f>K54-H54-J54</f>
        <v/>
      </c>
    </row>
    <row r="55">
      <c r="A55" s="35">
        <f>Proyeksi!A44</f>
        <v/>
      </c>
      <c r="B55" s="35">
        <f>Proyeksi!B44</f>
        <v/>
      </c>
      <c r="C55" s="35">
        <f>Proyeksi!C44</f>
        <v/>
      </c>
      <c r="D55" s="17">
        <f>INDEX(Proyeksi!$D44:$F44,Input!$B$15)</f>
        <v/>
      </c>
      <c r="E55" s="23">
        <f>D55-INDEX(Proyeksi!$D43:$F43,Input!$B$15)</f>
        <v/>
      </c>
      <c r="F55" s="23">
        <f>Input!$B$11*INDEX(Proyeksi!$D43:$F43,Input!$B$15)</f>
        <v/>
      </c>
      <c r="G55" s="23">
        <f>E55+F55</f>
        <v/>
      </c>
      <c r="H55" s="15">
        <f>G55*Input!$B$28</f>
        <v/>
      </c>
      <c r="I55" s="23">
        <f>MAX(1,ROUNDUP(G55/Input!$B$29,0))</f>
        <v/>
      </c>
      <c r="J55" s="15">
        <f>I55*Input!$B$30</f>
        <v/>
      </c>
      <c r="K55" s="15">
        <f>D55*Input!$B$27</f>
        <v/>
      </c>
      <c r="L55" s="15">
        <f>K55-H55-J55</f>
        <v/>
      </c>
    </row>
    <row r="56">
      <c r="A56" s="35">
        <f>Proyeksi!A45</f>
        <v/>
      </c>
      <c r="B56" s="35">
        <f>Proyeksi!B45</f>
        <v/>
      </c>
      <c r="C56" s="35">
        <f>Proyeksi!C45</f>
        <v/>
      </c>
      <c r="D56" s="17">
        <f>INDEX(Proyeksi!$D45:$F45,Input!$B$15)</f>
        <v/>
      </c>
      <c r="E56" s="23">
        <f>D56-INDEX(Proyeksi!$D44:$F44,Input!$B$15)</f>
        <v/>
      </c>
      <c r="F56" s="23">
        <f>Input!$B$11*INDEX(Proyeksi!$D44:$F44,Input!$B$15)</f>
        <v/>
      </c>
      <c r="G56" s="23">
        <f>E56+F56</f>
        <v/>
      </c>
      <c r="H56" s="15">
        <f>G56*Input!$B$28</f>
        <v/>
      </c>
      <c r="I56" s="23">
        <f>MAX(1,ROUNDUP(G56/Input!$B$29,0))</f>
        <v/>
      </c>
      <c r="J56" s="15">
        <f>I56*Input!$B$30</f>
        <v/>
      </c>
      <c r="K56" s="15">
        <f>D56*Input!$B$27</f>
        <v/>
      </c>
      <c r="L56" s="15">
        <f>K56-H56-J56</f>
        <v/>
      </c>
    </row>
    <row r="57">
      <c r="A57" s="35">
        <f>Proyeksi!A46</f>
        <v/>
      </c>
      <c r="B57" s="35">
        <f>Proyeksi!B46</f>
        <v/>
      </c>
      <c r="C57" s="35">
        <f>Proyeksi!C46</f>
        <v/>
      </c>
      <c r="D57" s="17">
        <f>INDEX(Proyeksi!$D46:$F46,Input!$B$15)</f>
        <v/>
      </c>
      <c r="E57" s="23">
        <f>D57-INDEX(Proyeksi!$D45:$F45,Input!$B$15)</f>
        <v/>
      </c>
      <c r="F57" s="23">
        <f>Input!$B$11*INDEX(Proyeksi!$D45:$F45,Input!$B$15)</f>
        <v/>
      </c>
      <c r="G57" s="23">
        <f>E57+F57</f>
        <v/>
      </c>
      <c r="H57" s="15">
        <f>G57*Input!$B$28</f>
        <v/>
      </c>
      <c r="I57" s="23">
        <f>MAX(1,ROUNDUP(G57/Input!$B$29,0))</f>
        <v/>
      </c>
      <c r="J57" s="15">
        <f>I57*Input!$B$30</f>
        <v/>
      </c>
      <c r="K57" s="15">
        <f>D57*Input!$B$27</f>
        <v/>
      </c>
      <c r="L57" s="15">
        <f>K57-H57-J57</f>
        <v/>
      </c>
    </row>
    <row r="58">
      <c r="A58" s="35">
        <f>Proyeksi!A47</f>
        <v/>
      </c>
      <c r="B58" s="35">
        <f>Proyeksi!B47</f>
        <v/>
      </c>
      <c r="C58" s="35">
        <f>Proyeksi!C47</f>
        <v/>
      </c>
      <c r="D58" s="17">
        <f>INDEX(Proyeksi!$D47:$F47,Input!$B$15)</f>
        <v/>
      </c>
      <c r="E58" s="23">
        <f>D58-INDEX(Proyeksi!$D46:$F46,Input!$B$15)</f>
        <v/>
      </c>
      <c r="F58" s="23">
        <f>Input!$B$11*INDEX(Proyeksi!$D46:$F46,Input!$B$15)</f>
        <v/>
      </c>
      <c r="G58" s="23">
        <f>E58+F58</f>
        <v/>
      </c>
      <c r="H58" s="15">
        <f>G58*Input!$B$28</f>
        <v/>
      </c>
      <c r="I58" s="23">
        <f>MAX(1,ROUNDUP(G58/Input!$B$29,0))</f>
        <v/>
      </c>
      <c r="J58" s="15">
        <f>I58*Input!$B$30</f>
        <v/>
      </c>
      <c r="K58" s="15">
        <f>D58*Input!$B$27</f>
        <v/>
      </c>
      <c r="L58" s="15">
        <f>K58-H58-J58</f>
        <v/>
      </c>
    </row>
    <row r="59">
      <c r="A59" s="35">
        <f>Proyeksi!A48</f>
        <v/>
      </c>
      <c r="B59" s="35">
        <f>Proyeksi!B48</f>
        <v/>
      </c>
      <c r="C59" s="35">
        <f>Proyeksi!C48</f>
        <v/>
      </c>
      <c r="D59" s="17">
        <f>INDEX(Proyeksi!$D48:$F48,Input!$B$15)</f>
        <v/>
      </c>
      <c r="E59" s="23">
        <f>D59-INDEX(Proyeksi!$D47:$F47,Input!$B$15)</f>
        <v/>
      </c>
      <c r="F59" s="23">
        <f>Input!$B$11*INDEX(Proyeksi!$D47:$F47,Input!$B$15)</f>
        <v/>
      </c>
      <c r="G59" s="23">
        <f>E59+F59</f>
        <v/>
      </c>
      <c r="H59" s="15">
        <f>G59*Input!$B$28</f>
        <v/>
      </c>
      <c r="I59" s="23">
        <f>MAX(1,ROUNDUP(G59/Input!$B$29,0))</f>
        <v/>
      </c>
      <c r="J59" s="15">
        <f>I59*Input!$B$30</f>
        <v/>
      </c>
      <c r="K59" s="15">
        <f>D59*Input!$B$27</f>
        <v/>
      </c>
      <c r="L59" s="15">
        <f>K59-H59-J59</f>
        <v/>
      </c>
    </row>
    <row r="60">
      <c r="A60" s="35">
        <f>Proyeksi!A49</f>
        <v/>
      </c>
      <c r="B60" s="35">
        <f>Proyeksi!B49</f>
        <v/>
      </c>
      <c r="C60" s="35">
        <f>Proyeksi!C49</f>
        <v/>
      </c>
      <c r="D60" s="17">
        <f>INDEX(Proyeksi!$D49:$F49,Input!$B$15)</f>
        <v/>
      </c>
      <c r="E60" s="23">
        <f>D60-INDEX(Proyeksi!$D48:$F48,Input!$B$15)</f>
        <v/>
      </c>
      <c r="F60" s="23">
        <f>Input!$B$11*INDEX(Proyeksi!$D48:$F48,Input!$B$15)</f>
        <v/>
      </c>
      <c r="G60" s="23">
        <f>E60+F60</f>
        <v/>
      </c>
      <c r="H60" s="15">
        <f>G60*Input!$B$28</f>
        <v/>
      </c>
      <c r="I60" s="23">
        <f>MAX(1,ROUNDUP(G60/Input!$B$29,0))</f>
        <v/>
      </c>
      <c r="J60" s="15">
        <f>I60*Input!$B$30</f>
        <v/>
      </c>
      <c r="K60" s="15">
        <f>D60*Input!$B$27</f>
        <v/>
      </c>
      <c r="L60" s="15">
        <f>K60-H60-J60</f>
        <v/>
      </c>
    </row>
    <row r="61">
      <c r="A61" s="35">
        <f>Proyeksi!A50</f>
        <v/>
      </c>
      <c r="B61" s="35">
        <f>Proyeksi!B50</f>
        <v/>
      </c>
      <c r="C61" s="35">
        <f>Proyeksi!C50</f>
        <v/>
      </c>
      <c r="D61" s="17">
        <f>INDEX(Proyeksi!$D50:$F50,Input!$B$15)</f>
        <v/>
      </c>
      <c r="E61" s="23">
        <f>D61-INDEX(Proyeksi!$D49:$F49,Input!$B$15)</f>
        <v/>
      </c>
      <c r="F61" s="23">
        <f>Input!$B$11*INDEX(Proyeksi!$D49:$F49,Input!$B$15)</f>
        <v/>
      </c>
      <c r="G61" s="23">
        <f>E61+F61</f>
        <v/>
      </c>
      <c r="H61" s="15">
        <f>G61*Input!$B$28</f>
        <v/>
      </c>
      <c r="I61" s="23">
        <f>MAX(1,ROUNDUP(G61/Input!$B$29,0))</f>
        <v/>
      </c>
      <c r="J61" s="15">
        <f>I61*Input!$B$30</f>
        <v/>
      </c>
      <c r="K61" s="15">
        <f>D61*Input!$B$27</f>
        <v/>
      </c>
      <c r="L61" s="15">
        <f>K61-H61-J61</f>
        <v/>
      </c>
    </row>
    <row r="62">
      <c r="A62" s="35">
        <f>Proyeksi!A51</f>
        <v/>
      </c>
      <c r="B62" s="35">
        <f>Proyeksi!B51</f>
        <v/>
      </c>
      <c r="C62" s="35">
        <f>Proyeksi!C51</f>
        <v/>
      </c>
      <c r="D62" s="17">
        <f>INDEX(Proyeksi!$D51:$F51,Input!$B$15)</f>
        <v/>
      </c>
      <c r="E62" s="23">
        <f>D62-INDEX(Proyeksi!$D50:$F50,Input!$B$15)</f>
        <v/>
      </c>
      <c r="F62" s="23">
        <f>Input!$B$11*INDEX(Proyeksi!$D50:$F50,Input!$B$15)</f>
        <v/>
      </c>
      <c r="G62" s="23">
        <f>E62+F62</f>
        <v/>
      </c>
      <c r="H62" s="15">
        <f>G62*Input!$B$28</f>
        <v/>
      </c>
      <c r="I62" s="23">
        <f>MAX(1,ROUNDUP(G62/Input!$B$29,0))</f>
        <v/>
      </c>
      <c r="J62" s="15">
        <f>I62*Input!$B$30</f>
        <v/>
      </c>
      <c r="K62" s="15">
        <f>D62*Input!$B$27</f>
        <v/>
      </c>
      <c r="L62" s="15">
        <f>K62-H62-J62</f>
        <v/>
      </c>
    </row>
    <row r="63">
      <c r="A63" s="35">
        <f>Proyeksi!A52</f>
        <v/>
      </c>
      <c r="B63" s="35">
        <f>Proyeksi!B52</f>
        <v/>
      </c>
      <c r="C63" s="35">
        <f>Proyeksi!C52</f>
        <v/>
      </c>
      <c r="D63" s="17">
        <f>INDEX(Proyeksi!$D52:$F52,Input!$B$15)</f>
        <v/>
      </c>
      <c r="E63" s="23">
        <f>D63-INDEX(Proyeksi!$D51:$F51,Input!$B$15)</f>
        <v/>
      </c>
      <c r="F63" s="23">
        <f>Input!$B$11*INDEX(Proyeksi!$D51:$F51,Input!$B$15)</f>
        <v/>
      </c>
      <c r="G63" s="23">
        <f>E63+F63</f>
        <v/>
      </c>
      <c r="H63" s="15">
        <f>G63*Input!$B$28</f>
        <v/>
      </c>
      <c r="I63" s="23">
        <f>MAX(1,ROUNDUP(G63/Input!$B$29,0))</f>
        <v/>
      </c>
      <c r="J63" s="15">
        <f>I63*Input!$B$30</f>
        <v/>
      </c>
      <c r="K63" s="15">
        <f>D63*Input!$B$27</f>
        <v/>
      </c>
      <c r="L63" s="15">
        <f>K63-H63-J63</f>
        <v/>
      </c>
    </row>
    <row r="64">
      <c r="A64" s="35">
        <f>Proyeksi!A53</f>
        <v/>
      </c>
      <c r="B64" s="35">
        <f>Proyeksi!B53</f>
        <v/>
      </c>
      <c r="C64" s="35">
        <f>Proyeksi!C53</f>
        <v/>
      </c>
      <c r="D64" s="17">
        <f>INDEX(Proyeksi!$D53:$F53,Input!$B$15)</f>
        <v/>
      </c>
      <c r="E64" s="23">
        <f>D64-INDEX(Proyeksi!$D52:$F52,Input!$B$15)</f>
        <v/>
      </c>
      <c r="F64" s="23">
        <f>Input!$B$11*INDEX(Proyeksi!$D52:$F52,Input!$B$15)</f>
        <v/>
      </c>
      <c r="G64" s="23">
        <f>E64+F64</f>
        <v/>
      </c>
      <c r="H64" s="15">
        <f>G64*Input!$B$28</f>
        <v/>
      </c>
      <c r="I64" s="23">
        <f>MAX(1,ROUNDUP(G64/Input!$B$29,0))</f>
        <v/>
      </c>
      <c r="J64" s="15">
        <f>I64*Input!$B$30</f>
        <v/>
      </c>
      <c r="K64" s="15">
        <f>D64*Input!$B$27</f>
        <v/>
      </c>
      <c r="L64" s="15">
        <f>K64-H64-J64</f>
        <v/>
      </c>
    </row>
    <row r="65">
      <c r="A65" s="35">
        <f>Proyeksi!A54</f>
        <v/>
      </c>
      <c r="B65" s="35">
        <f>Proyeksi!B54</f>
        <v/>
      </c>
      <c r="C65" s="35">
        <f>Proyeksi!C54</f>
        <v/>
      </c>
      <c r="D65" s="17">
        <f>INDEX(Proyeksi!$D54:$F54,Input!$B$15)</f>
        <v/>
      </c>
      <c r="E65" s="23">
        <f>D65-INDEX(Proyeksi!$D53:$F53,Input!$B$15)</f>
        <v/>
      </c>
      <c r="F65" s="23">
        <f>Input!$B$11*INDEX(Proyeksi!$D53:$F53,Input!$B$15)</f>
        <v/>
      </c>
      <c r="G65" s="23">
        <f>E65+F65</f>
        <v/>
      </c>
      <c r="H65" s="15">
        <f>G65*Input!$B$28</f>
        <v/>
      </c>
      <c r="I65" s="23">
        <f>MAX(1,ROUNDUP(G65/Input!$B$29,0))</f>
        <v/>
      </c>
      <c r="J65" s="15">
        <f>I65*Input!$B$30</f>
        <v/>
      </c>
      <c r="K65" s="15">
        <f>D65*Input!$B$27</f>
        <v/>
      </c>
      <c r="L65" s="15">
        <f>K65-H65-J65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2" customWidth="1" min="3" max="3"/>
    <col width="48" customWidth="1" min="4" max="4"/>
    <col width="48" customWidth="1" min="5" max="5"/>
  </cols>
  <sheetData>
    <row r="1" ht="26" customHeight="1">
      <c r="A1" s="1" t="inlineStr">
        <is>
          <t>TEMUAN / GAP di file FOS yang mempengaruhi proyeksi (not final)</t>
        </is>
      </c>
    </row>
    <row r="3">
      <c r="A3" s="3" t="inlineStr">
        <is>
          <t>No</t>
        </is>
      </c>
      <c r="B3" s="3" t="inlineStr">
        <is>
          <t>Temuan</t>
        </is>
      </c>
      <c r="C3" s="3" t="inlineStr">
        <is>
          <t>Bukti (di file FOS)</t>
        </is>
      </c>
      <c r="D3" s="3" t="inlineStr">
        <is>
          <t>Angka</t>
        </is>
      </c>
      <c r="E3" s="3" t="inlineStr">
        <is>
          <t>Saran</t>
        </is>
      </c>
    </row>
    <row r="4" ht="62" customHeight="1">
      <c r="A4" s="36" t="n">
        <v>1</v>
      </c>
      <c r="B4" s="19" t="inlineStr">
        <is>
          <t>CAC Y1 mengasumsikan churn nol</t>
        </is>
      </c>
      <c r="C4" s="4" t="inlineStr">
        <is>
          <t>Cost Structure: Merchant CAC M2..M12 = net adds x Rp200rb (mis. M2 Rp3jt = 15 merchant). Key Assumption: retention 85%.</t>
        </is>
      </c>
      <c r="D4" s="4">
        <f>"CAC file "&amp;TEXT(EksVsLogistik!G29,"#,##0")&amp;" vs dengan churn "&amp;TEXT(EksVsLogistik!H29,"#,##0")&amp;" (+"&amp;TEXT(EksVsLogistik!H30,"0%")&amp;")"</f>
        <v/>
      </c>
      <c r="E4" s="4" t="inlineStr">
        <is>
          <t>Hitung CAC dari gross adds, bukan net adds. Revisi Cost Structure dan raise.</t>
        </is>
      </c>
    </row>
    <row r="5" ht="62" customHeight="1">
      <c r="A5" s="36" t="n">
        <v>2</v>
      </c>
      <c r="B5" s="19" t="inlineStr">
        <is>
          <t>40 adds/bulan hanya menopang ~267 merchant</t>
        </is>
      </c>
      <c r="C5" s="4" t="inlineStr">
        <is>
          <t>Cost Structure: CAC M12 Rp8jt = 40 merchant. Churn 15%/bulan.</t>
        </is>
      </c>
      <c r="D5" s="4">
        <f>"Plafon steady-state = "&amp;TEXT(EksVsLogistik!B35,"#,##0")&amp;" merchant (target 340)"</f>
        <v/>
      </c>
      <c r="E5" s="4" t="inlineStr">
        <is>
          <t>Turunkan churn atau naikkan kapasitas akuisisi.</t>
        </is>
      </c>
    </row>
    <row r="6" ht="62" customHeight="1">
      <c r="A6" s="36" t="n">
        <v>3</v>
      </c>
      <c r="B6" s="19" t="inlineStr">
        <is>
          <t>Est. LTV Rp12.582.000 tidak bisa direproduksi</t>
        </is>
      </c>
      <c r="C6" s="4" t="inlineStr">
        <is>
          <t>Tab KPI: ARPM 699.000, Retention 0,85, Est. LTV 12.582.000 = 699.000 x 18.</t>
        </is>
      </c>
      <c r="D6" s="4">
        <f>"Implisit "&amp;TEXT(Input!B32/Input!B31,"0.0")&amp;" bulan; umur dari churn 15% = "&amp;TEXT(1/Input!B11,"0.0")&amp;" bulan; LTV jika ARPM 597.750 = "&amp;TEXT(Input!B27/Input!B11,"#,##0")</f>
        <v/>
      </c>
      <c r="E6" s="4" t="inlineStr">
        <is>
          <t>Definisikan rumus LTV (ARPM x umur) dan pakai churn yang sama dengan proyeksi.</t>
        </is>
      </c>
    </row>
    <row r="7" ht="62" customHeight="1">
      <c r="A7" s="36" t="n">
        <v>4</v>
      </c>
      <c r="B7" s="19" t="inlineStr">
        <is>
          <t>ARPM tidak konsisten</t>
        </is>
      </c>
      <c r="C7" s="4" t="inlineStr">
        <is>
          <t>Tab KPI: ARPM Yr1 Rp699.000. Revenue Model: ARPM Rp597.750 (subscription Rp549.000 + promo Rp48.750).</t>
        </is>
      </c>
      <c r="D7" s="4">
        <f>"Selisih "&amp;TEXT(Input!B31-Input!B27,"#,##0")&amp;" per merchant/bulan"</f>
        <v/>
      </c>
      <c r="E7" s="4" t="inlineStr">
        <is>
          <t>Pilih satu definisi ARPM.</t>
        </is>
      </c>
    </row>
    <row r="8" ht="62" customHeight="1">
      <c r="A8" s="36" t="n">
        <v>5</v>
      </c>
      <c r="B8" s="19" t="inlineStr">
        <is>
          <t>Y2 M1 = 400 melompat dari tren</t>
        </is>
      </c>
      <c r="C8" s="4" t="inlineStr">
        <is>
          <t>Growth Projection Y2 M1 = 400; M12 Y1 = 340; growth Y1 turun 30% ke 13%.</t>
        </is>
      </c>
      <c r="D8" s="4">
        <f>"Growth implisit "&amp;TEXT(400/Input!B8-1,"0.0%")&amp;" vs 13,3% di M12"</f>
        <v/>
      </c>
      <c r="E8" s="4" t="inlineStr">
        <is>
          <t>Y2 M1 sebaiknya dari kurva, bukan angka tetap.</t>
        </is>
      </c>
    </row>
    <row r="9" ht="62" customHeight="1">
      <c r="A9" s="36" t="n">
        <v>6</v>
      </c>
      <c r="B9" s="19" t="inlineStr">
        <is>
          <t>Kapasitas sales tidak naik</t>
        </is>
      </c>
      <c r="C9" s="4" t="inlineStr">
        <is>
          <t>Cost Structure: 1 Salary Marketer/Sales Rp10jt konstan M1-M12.</t>
        </is>
      </c>
      <c r="D9" s="4">
        <f>"Sales dibutuhkan Y2 (skenario aktif): "&amp;TEXT(BiayaRevenue!B10,"0")</f>
        <v/>
      </c>
      <c r="E9" s="4" t="inlineStr">
        <is>
          <t>Tambahkan baris biaya sales Y2 dan tambah tim bertahap.</t>
        </is>
      </c>
    </row>
    <row r="10" ht="62" customHeight="1">
      <c r="A10" s="36" t="n">
        <v>7</v>
      </c>
      <c r="B10" s="19" t="inlineStr">
        <is>
          <t>Raise tidak konsisten dengan klaim</t>
        </is>
      </c>
      <c r="C10" s="4" t="inlineStr">
        <is>
          <t>Capital Deployment: waterfall pakai revenue Rp332.051.950 (Model 4, turunan Model 3 = 100 merchant) sementara klaim 'Mencapai 340 merchant' dan Cashflow memakai Model 1 (Rp1,23 M).</t>
        </is>
      </c>
      <c r="D10" s="4" t="inlineStr">
        <is>
          <t>Model 1 vs Model 3: 340 vs 100 merchant</t>
        </is>
      </c>
      <c r="E10" s="4" t="inlineStr">
        <is>
          <t>Pilih satu skenario sebagai dasar raise dan konsistenkan.</t>
        </is>
      </c>
    </row>
    <row r="11" ht="62" customHeight="1">
      <c r="A11" s="36" t="n">
        <v>8</v>
      </c>
      <c r="B11" s="19" t="inlineStr">
        <is>
          <t>P&amp;L M1 subscription tidak cocok</t>
        </is>
      </c>
      <c r="C11" s="4" t="inlineStr">
        <is>
          <t>P&amp;L M1 Rp7.117.890; Revenue Model M1 Rp27.450.000 (angka Model 4 kasus 4 terselip).</t>
        </is>
      </c>
      <c r="D11" s="4" t="inlineStr">
        <is>
          <t>Selisih Rp20.332.110</t>
        </is>
      </c>
      <c r="E11" s="4" t="inlineStr">
        <is>
          <t>Perbaiki link P&amp;L M1.</t>
        </is>
      </c>
    </row>
    <row r="12" ht="62" customHeight="1">
      <c r="A12" s="36" t="n">
        <v>9</v>
      </c>
      <c r="B12" s="19" t="inlineStr">
        <is>
          <t>Semua merchant bayar penuh sejak M1</t>
        </is>
      </c>
      <c r="C12" s="4" t="inlineStr">
        <is>
          <t>Revenue Model menghitung 50 merchant x tarif penuh di M1, tapi Cost Structure punya Growth Cost (Trial Subsidy) Rp2,25jt/bulan.</t>
        </is>
      </c>
      <c r="D12" s="4" t="inlineStr">
        <is>
          <t>-</t>
        </is>
      </c>
      <c r="E12" s="4" t="inlineStr">
        <is>
          <t>Tambahkan fase trial dan konversi ke berbayar.</t>
        </is>
      </c>
    </row>
    <row r="13" ht="62" customHeight="1">
      <c r="A13" s="36" t="n">
        <v>10</v>
      </c>
      <c r="B13" s="19" t="inlineStr">
        <is>
          <t>Impression tidak tumbuh</t>
        </is>
      </c>
      <c r="C13" s="4" t="inlineStr">
        <is>
          <t>Key Assumption: 10.000 views/bulan 'growing exponentially', tetapi Promotion Revenue = 10 unit CPM tetap per merchant pembeli promo.</t>
        </is>
      </c>
      <c r="D13" s="4" t="inlineStr">
        <is>
          <t>Promo/merchant tetap Rp48.750</t>
        </is>
      </c>
      <c r="E13" s="4" t="inlineStr">
        <is>
          <t>Hubungkan impression ke jumlah user (50.000 user di klaim raise).</t>
        </is>
      </c>
    </row>
    <row r="14" ht="62" customHeight="1">
      <c r="A14" s="36" t="n">
        <v>11</v>
      </c>
      <c r="B14" s="19" t="inlineStr">
        <is>
          <t>Plafon pasar belum tervalidasi</t>
        </is>
      </c>
      <c r="C14" s="4" t="inlineStr">
        <is>
          <t>Lihat sheet Sumber: Bandung ~899-961; Jakarta 3 sumber saling tidak sebanding.</t>
        </is>
      </c>
      <c r="D14" s="4" t="inlineStr">
        <is>
          <t>K Low/Mid/High adalah ASUMSI</t>
        </is>
      </c>
      <c r="E14" s="4" t="inlineStr">
        <is>
          <t>Validasi SAM per kota (segmen kafe/resto lifestyle) sebelum angka K dipakai investor.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62" customWidth="1" min="3" max="3"/>
    <col width="100" customWidth="1" min="4" max="4"/>
  </cols>
  <sheetData>
    <row r="1" ht="26" customHeight="1">
      <c r="A1" s="1" t="inlineStr">
        <is>
          <t>SUMBER DATA PASAR &amp; CATATAN VALIDASI</t>
        </is>
      </c>
    </row>
    <row r="3">
      <c r="A3" s="3" t="inlineStr">
        <is>
          <t>Wilayah</t>
        </is>
      </c>
      <c r="B3" s="3" t="inlineStr">
        <is>
          <t>Angka</t>
        </is>
      </c>
      <c r="C3" s="3" t="inlineStr">
        <is>
          <t>Tahun / definisi</t>
        </is>
      </c>
      <c r="D3" s="3" t="inlineStr">
        <is>
          <t>Sumber</t>
        </is>
      </c>
    </row>
    <row r="4" ht="32" customHeight="1">
      <c r="A4" s="4" t="inlineStr">
        <is>
          <t>Bandung</t>
        </is>
      </c>
      <c r="B4" s="4" t="inlineStr">
        <is>
          <t>961</t>
        </is>
      </c>
      <c r="C4" s="4" t="inlineStr">
        <is>
          <t>2018, restoran/rumah makan (Disbudpar Kota Bandung)</t>
        </is>
      </c>
      <c r="D4" s="4" t="inlineStr">
        <is>
          <t>https://bandungkota.bps.go.id/en/statistics-table/2/MTQ3IzI=/jumlah-rumah-makan--restoran-menurut-kecamatan.html</t>
        </is>
      </c>
    </row>
    <row r="5" ht="32" customHeight="1">
      <c r="A5" s="4" t="inlineStr">
        <is>
          <t>Bandung</t>
        </is>
      </c>
      <c r="B5" s="4" t="inlineStr">
        <is>
          <t>~899</t>
        </is>
      </c>
      <c r="C5" s="4" t="inlineStr">
        <is>
          <t>2022, 'café dan restoran' (hasil pencarian, dataset sumber belum dibuka)</t>
        </is>
      </c>
      <c r="D5" s="4" t="inlineStr">
        <is>
          <t>https://opendata.bandung.go.id/dataset/data-rumah-makan-restoran-cafe-di-kota-bandung</t>
        </is>
      </c>
    </row>
    <row r="6" ht="32" customHeight="1">
      <c r="A6" s="4" t="inlineStr">
        <is>
          <t>DKI Jakarta</t>
        </is>
      </c>
      <c r="B6" s="4" t="inlineStr">
        <is>
          <t>202.983</t>
        </is>
      </c>
      <c r="C6" s="4" t="inlineStr">
        <is>
          <t>2024, restoran dan rumah makan (kemungkinan termasuk warung)</t>
        </is>
      </c>
      <c r="D6" s="4" t="inlineStr">
        <is>
          <t>https://data.goodstats.id/statistic/10-provinsi-dengan-jumlah-restoranrumah-makan-terbanyak-5R8BM</t>
        </is>
      </c>
    </row>
    <row r="7" ht="32" customHeight="1">
      <c r="A7" s="4" t="inlineStr">
        <is>
          <t>DKI Jakarta</t>
        </is>
      </c>
      <c r="B7" s="4" t="inlineStr">
        <is>
          <t>3.062</t>
        </is>
      </c>
      <c r="C7" s="4" t="inlineStr">
        <is>
          <t>2021, restoran skala menengah-besar</t>
        </is>
      </c>
      <c r="D7" s="4" t="inlineStr">
        <is>
          <t>https://databoks.katadata.co.id/ekonomi-makro/statistik/e6f7aee9363c60f/10-provinsi-dengan-restoran-skala-menengah-besar-terbanyak-di-indonesia</t>
        </is>
      </c>
    </row>
    <row r="8" ht="32" customHeight="1">
      <c r="A8" s="4" t="inlineStr">
        <is>
          <t>DKI Jakarta</t>
        </is>
      </c>
      <c r="B8" s="4" t="inlineStr">
        <is>
          <t>5.159</t>
        </is>
      </c>
      <c r="C8" s="4" t="inlineStr">
        <is>
          <t>2020, usaha kuliner</t>
        </is>
      </c>
      <c r="D8" s="4" t="inlineStr">
        <is>
          <t>https://goodstats.id/article/lebih-dari-10000-usaha-kuliner-ada-di-indonesia-bagaimana-statistiknya-OTIU5</t>
        </is>
      </c>
    </row>
    <row r="10">
      <c r="A10" s="34" t="inlineStr">
        <is>
          <t>CATATAN:</t>
        </is>
      </c>
    </row>
    <row r="11">
      <c r="A11" s="37" t="inlineStr">
        <is>
          <t>1. Angka Jakarta saling tidak sebanding (definisi dan tahun berbeda: 3.062 vs 5.159 vs 202.983). Tidak ada satu angka yang bisa dipakai sebagai SAM Seato tanpa validasi lanjut.</t>
        </is>
      </c>
    </row>
    <row r="12">
      <c r="A12" s="37" t="inlineStr">
        <is>
          <t>2. Segmen relevan Seato (kafe/resto lifestyle yang bisa reservasi dan WFC-friendly) belum ditemukan angkanya. Plafon K Low/Mid/High di sheet Input adalah ASUMSI, bukan hasil riset.</t>
        </is>
      </c>
    </row>
    <row r="13">
      <c r="A13" s="37" t="inlineStr">
        <is>
          <t>3. Semua nilai Y2-Y5 di workbook ini adalah proyeksi dari asumsi. Y1 diambil dari tab Growth Projection file FOS (not final).</t>
        </is>
      </c>
    </row>
    <row r="14">
      <c r="A14" s="37" t="inlineStr">
        <is>
          <t>4. Churn 15%/bulan = retention 85% diartikan bulanan (konfirmasi pengguna). Jika ternyata tahunan, ubah Input!B11.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2026-10-07T18:33:02Z</dcterms:created>
  <dcterms:modified xsi:type="dcterms:W3CDTF">2026-10-07T18:33:02Z</dcterms:modified>
</cp:coreProperties>
</file>