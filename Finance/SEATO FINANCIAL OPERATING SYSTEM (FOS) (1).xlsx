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" sheetId="1" r:id="rId5"/>
    <sheet state="visible" name="GROWTH PROJECTION" sheetId="2" r:id="rId6"/>
    <sheet state="visible" name="REVENUE MODEL" sheetId="3" r:id="rId7"/>
    <sheet state="visible" name="COST STRUCTURE" sheetId="4" r:id="rId8"/>
    <sheet state="visible" name="P&amp;L STATEMENT" sheetId="5" r:id="rId9"/>
    <sheet state="visible" name="FUNDING ANALYSIS" sheetId="6" r:id="rId10"/>
    <sheet state="visible" name="CASHFLOW STATEMENT" sheetId="7" r:id="rId11"/>
    <sheet state="visible" name="UNIT ECONOMICS" sheetId="8" r:id="rId12"/>
    <sheet state="visible" name="BREAK EVEN" sheetId="9" r:id="rId13"/>
    <sheet state="visible" name="BURN RATE" sheetId="10" r:id="rId14"/>
    <sheet state="visible" name="VALUATION" sheetId="11" r:id="rId15"/>
    <sheet state="visible" name="DASHBOARD" sheetId="12" r:id="rId16"/>
    <sheet state="visible" name="KPI" sheetId="13" r:id="rId17"/>
  </sheets>
  <definedNames/>
  <calcPr/>
</workbook>
</file>

<file path=xl/sharedStrings.xml><?xml version="1.0" encoding="utf-8"?>
<sst xmlns="http://schemas.openxmlformats.org/spreadsheetml/2006/main" count="390" uniqueCount="231">
  <si>
    <t>GROWTH PROJECTION (not final)</t>
  </si>
  <si>
    <t>SEATO PRICING (not final)</t>
  </si>
  <si>
    <t>REVENUE MODEL (not final)</t>
  </si>
  <si>
    <t>COST STRUCTURE (not final)</t>
  </si>
  <si>
    <t>Cost</t>
  </si>
  <si>
    <t>Year 1</t>
  </si>
  <si>
    <t>MODEL 1 (HIGH-BISMILLAH)</t>
  </si>
  <si>
    <t>M-3</t>
  </si>
  <si>
    <t>M-2</t>
  </si>
  <si>
    <t>M-1</t>
  </si>
  <si>
    <t>M1</t>
  </si>
  <si>
    <t>M2</t>
  </si>
  <si>
    <t>Year 2</t>
  </si>
  <si>
    <t>M3</t>
  </si>
  <si>
    <t>M4</t>
  </si>
  <si>
    <t>M5</t>
  </si>
  <si>
    <t>M6</t>
  </si>
  <si>
    <t>M7</t>
  </si>
  <si>
    <t>Year 3</t>
  </si>
  <si>
    <t>M8</t>
  </si>
  <si>
    <t>Subscription</t>
  </si>
  <si>
    <t>M9</t>
  </si>
  <si>
    <t>M10</t>
  </si>
  <si>
    <t>M11</t>
  </si>
  <si>
    <t>M12</t>
  </si>
  <si>
    <t>Month</t>
  </si>
  <si>
    <t>TOTAL</t>
  </si>
  <si>
    <t>A. FIXED COST (biaya tetap per bulan)</t>
  </si>
  <si>
    <t>Price</t>
  </si>
  <si>
    <t>Time</t>
  </si>
  <si>
    <t>x. Composition</t>
  </si>
  <si>
    <t>Merchant</t>
  </si>
  <si>
    <t xml:space="preserve"> 1 year</t>
  </si>
  <si>
    <t>User</t>
  </si>
  <si>
    <t>1m 3b</t>
  </si>
  <si>
    <t>1m 6b</t>
  </si>
  <si>
    <t>1m 12b</t>
  </si>
  <si>
    <t>3m 3b</t>
  </si>
  <si>
    <t>Starter</t>
  </si>
  <si>
    <t>Developer (3 people)</t>
  </si>
  <si>
    <t>@/month</t>
  </si>
  <si>
    <t>Year 4</t>
  </si>
  <si>
    <t xml:space="preserve">     Starter</t>
  </si>
  <si>
    <t>Year 5</t>
  </si>
  <si>
    <t>Server &amp; IT Maintenance</t>
  </si>
  <si>
    <t>Professional</t>
  </si>
  <si>
    <t>Domain</t>
  </si>
  <si>
    <t>Enterprise</t>
  </si>
  <si>
    <t>Google Play</t>
  </si>
  <si>
    <t>App Store</t>
  </si>
  <si>
    <t>Promotion CPM</t>
  </si>
  <si>
    <t>Salary Founder (4 people)</t>
  </si>
  <si>
    <t>CPM</t>
  </si>
  <si>
    <t>Hero Banner</t>
  </si>
  <si>
    <t xml:space="preserve">     Professional</t>
  </si>
  <si>
    <t>Avg. Promotion Cost</t>
  </si>
  <si>
    <t>Featured Merchant</t>
  </si>
  <si>
    <t>Push Notification</t>
  </si>
  <si>
    <t>Sponsored Listing</t>
  </si>
  <si>
    <t>Salary Marketer/Sales</t>
  </si>
  <si>
    <t>Key Assumption</t>
  </si>
  <si>
    <t>Value</t>
  </si>
  <si>
    <t>Initial Merchant</t>
  </si>
  <si>
    <t>Initial User</t>
  </si>
  <si>
    <t>Merchant CAC</t>
  </si>
  <si>
    <t>Merchant Retention</t>
  </si>
  <si>
    <t>Promotion Purchase Rate</t>
  </si>
  <si>
    <t>x. Impression @/month</t>
  </si>
  <si>
    <t xml:space="preserve">     Enterprise</t>
  </si>
  <si>
    <t>views (st. month)</t>
  </si>
  <si>
    <t>x. growing exponentially</t>
  </si>
  <si>
    <t>Artist</t>
  </si>
  <si>
    <t>License (HAKI, Logo, &amp;L^2)</t>
  </si>
  <si>
    <t>PT &amp; Badan Hukum &amp;L^2</t>
  </si>
  <si>
    <t>AI Development *</t>
  </si>
  <si>
    <t>Subscription Revenue</t>
  </si>
  <si>
    <t>Total Fixed Cost</t>
  </si>
  <si>
    <t>B. VARIABLE COST (berubah sesuai aktivitas)</t>
  </si>
  <si>
    <t>Merchant CAC (200rb x Target)</t>
  </si>
  <si>
    <t>Promotion Revenue</t>
  </si>
  <si>
    <t>Growth Cost (Trial Subsidy)</t>
  </si>
  <si>
    <t>Marketing (Ads, KOL, SEO)</t>
  </si>
  <si>
    <t>P&amp;L STATEMENT (not final)</t>
  </si>
  <si>
    <t>Promotion &amp; Referral</t>
  </si>
  <si>
    <t>Keterangan</t>
  </si>
  <si>
    <t>Notification (EMAIL)</t>
  </si>
  <si>
    <t>ASO</t>
  </si>
  <si>
    <t>A. REVENUE</t>
  </si>
  <si>
    <t>Total Variable Cost</t>
  </si>
  <si>
    <t>Total Revenue</t>
  </si>
  <si>
    <t>TOTAL COST</t>
  </si>
  <si>
    <t>ARPM</t>
  </si>
  <si>
    <t>Anything else?</t>
  </si>
  <si>
    <t>* = Ranged from 100k - 2m depends on the prompts</t>
  </si>
  <si>
    <t>MODEL 2 (MID)</t>
  </si>
  <si>
    <t>B. COST OF GOODS SOLD</t>
  </si>
  <si>
    <t>C. GROSS PROFIT</t>
  </si>
  <si>
    <t>D. OPERATING EXPENSES</t>
  </si>
  <si>
    <t>Total Operating Cost</t>
  </si>
  <si>
    <t>CAPITAL DEPLOYMENT PLAN (not final)</t>
  </si>
  <si>
    <r>
      <rPr>
        <rFont val="Arial"/>
        <b/>
        <color rgb="FFFFFFFF"/>
        <sz val="18.0"/>
      </rPr>
      <t>1. PRE-LAUNCH INVESTMENT</t>
    </r>
    <r>
      <rPr>
        <rFont val="Arial"/>
        <b/>
        <color rgb="FFFFFFFF"/>
      </rPr>
      <t xml:space="preserve">
Biaya sebelum launching (sekali bayar)</t>
    </r>
  </si>
  <si>
    <t>(M-3 - M0)</t>
  </si>
  <si>
    <r>
      <rPr>
        <rFont val="Arial"/>
        <b/>
        <color rgb="FFFFFFFF"/>
        <sz val="18.0"/>
      </rPr>
      <t>2. GO-TO MARKET PLAN</t>
    </r>
    <r>
      <rPr>
        <rFont val="Arial"/>
        <b/>
        <color rgb="FFFFFFFF"/>
      </rPr>
      <t xml:space="preserve">
Akselerasi awal untuk traction</t>
    </r>
  </si>
  <si>
    <t>E. EBITDA</t>
  </si>
  <si>
    <t>(M1 - M3)</t>
  </si>
  <si>
    <r>
      <rPr>
        <rFont val="Arial"/>
        <b/>
        <color rgb="FFFFFFFF"/>
        <sz val="18.0"/>
      </rPr>
      <t>3. MONTHLY RUNWAY PLAN</t>
    </r>
    <r>
      <rPr>
        <rFont val="Arial"/>
        <b/>
        <color rgb="FFFFFFFF"/>
        <sz val="11.0"/>
      </rPr>
      <t xml:space="preserve">
Proyeksi Revenue, Expense, Cash Flow</t>
    </r>
  </si>
  <si>
    <t>(M1 - M12)</t>
  </si>
  <si>
    <t>Component</t>
  </si>
  <si>
    <t>Description</t>
  </si>
  <si>
    <t>Amount (IDR)</t>
  </si>
  <si>
    <t>Total (3 Months)</t>
  </si>
  <si>
    <t>F. DEPRECIATION &amp; AMORTIZATION</t>
  </si>
  <si>
    <t>Total Expense</t>
  </si>
  <si>
    <t>Net Cash Flow</t>
  </si>
  <si>
    <t>Ending Cash Balance</t>
  </si>
  <si>
    <t>1. Product Development</t>
  </si>
  <si>
    <t>G. NET PROFIT (EBT)</t>
  </si>
  <si>
    <t>3 Months Development</t>
  </si>
  <si>
    <t>Ads (User Acquisition)</t>
  </si>
  <si>
    <t>H. EAT</t>
  </si>
  <si>
    <t>2. Server &amp; Infrastructure Setup</t>
  </si>
  <si>
    <t>Initial Server, DB, Tools</t>
  </si>
  <si>
    <t>Merchant Trial Subsidy</t>
  </si>
  <si>
    <t>3. Testing &amp; QA</t>
  </si>
  <si>
    <t>Testing, Bug Fixing</t>
  </si>
  <si>
    <t>Merchant Acquisition (MAC)</t>
  </si>
  <si>
    <t>- 0,5% pajak</t>
  </si>
  <si>
    <t>4. Deployment (Mobile Phone)</t>
  </si>
  <si>
    <t>Play Store &amp; AppStore</t>
  </si>
  <si>
    <t>Influencer / KOL</t>
  </si>
  <si>
    <t xml:space="preserve">5. Domain </t>
  </si>
  <si>
    <t>Domain Purchasement</t>
  </si>
  <si>
    <t>Content &amp; SEO</t>
  </si>
  <si>
    <t>6. Law &amp; Legal</t>
  </si>
  <si>
    <t>Build PT, Legal Basic</t>
  </si>
  <si>
    <t>Partnership / Activation</t>
  </si>
  <si>
    <t>6. Salary</t>
  </si>
  <si>
    <t>Founder &amp; Marketer</t>
  </si>
  <si>
    <t>TOTAL GTM INVESTMENT</t>
  </si>
  <si>
    <t>7. Miscellaneous</t>
  </si>
  <si>
    <t>Tools, Software, Others</t>
  </si>
  <si>
    <t>💡Fokus 3 bulan pertama: validasi product-market fit &amp; grow user + merchant</t>
  </si>
  <si>
    <t>TOTAL PRE-LAUNCH INVESTMENT</t>
  </si>
  <si>
    <t>💡Pre-launch investment dikeluarkan sebelum aplikasi running. 
    Periode: M3, M-2, M-1, M0</t>
  </si>
  <si>
    <r>
      <rPr>
        <rFont val="Arial"/>
        <b/>
        <color rgb="FFFFFFFF"/>
        <sz val="18.0"/>
      </rPr>
      <t>5. FUNDRAISING SUMMARY (ROUND PRE-SEED)</t>
    </r>
    <r>
      <rPr>
        <rFont val="Arial"/>
        <b/>
        <color rgb="FFFFFFFF"/>
      </rPr>
      <t xml:space="preserve">
Ringkasan pendanaan yang akan diterima</t>
    </r>
  </si>
  <si>
    <r>
      <rPr>
        <rFont val="Arial"/>
        <b/>
        <color rgb="FFFFFFFF"/>
        <sz val="18.0"/>
      </rPr>
      <t xml:space="preserve">4. FUNDING WATERFALL </t>
    </r>
    <r>
      <rPr>
        <rFont val="Arial"/>
        <b/>
        <color rgb="FFFFFFFF"/>
      </rPr>
      <t xml:space="preserve">
Berapa dana yang benar-benar perlu di-raise</t>
    </r>
  </si>
  <si>
    <t>Nilai</t>
  </si>
  <si>
    <t>W
H
A
T
F
O
R
?</t>
  </si>
  <si>
    <t>Penggunaan Dana</t>
  </si>
  <si>
    <t>Dana yang dicari (Target raise)</t>
  </si>
  <si>
    <t>Total expense 12 bulan (incl. Pre launch)</t>
  </si>
  <si>
    <t>Pre-money Valuation (estimasi)</t>
  </si>
  <si>
    <t>✅ Mencapai 340 Merchant aktif</t>
  </si>
  <si>
    <t>(-) Revenue yang dihasilkan (12 bulan)</t>
  </si>
  <si>
    <t>Post-money Valuation</t>
  </si>
  <si>
    <t>MODEL 3 (LOW)</t>
  </si>
  <si>
    <t>✅ 50.000 user terdaftar dan aktif</t>
  </si>
  <si>
    <t>Net cash need (sebelum buffer)</t>
  </si>
  <si>
    <t>Tipe instrumen</t>
  </si>
  <si>
    <t>Equity</t>
  </si>
  <si>
    <t>✅ Positive contribution margin di M10</t>
  </si>
  <si>
    <t>(+) Safety buffer (20%)</t>
  </si>
  <si>
    <t>Equity yang dilepas</t>
  </si>
  <si>
    <t>✅ Runway 12+ bulan</t>
  </si>
  <si>
    <t>TARGET FUNDRAISE (ROUND PRE-SEED)</t>
  </si>
  <si>
    <t>Expected closing</t>
  </si>
  <si>
    <t>✅ Siap untuk Seed Round</t>
  </si>
  <si>
    <t>💡Angka buffer untuk proteksi risiko delay revenue / over budget</t>
  </si>
  <si>
    <r>
      <rPr>
        <rFont val="Arial"/>
        <b/>
        <color rgb="FFFFFFFF"/>
        <sz val="18.0"/>
      </rPr>
      <t>6. USE OF FUNDS (ALLOCATION)</t>
    </r>
    <r>
      <rPr>
        <rFont val="Arial"/>
        <b/>
        <color rgb="FFFFFFFF"/>
      </rPr>
      <t xml:space="preserve">
Rencana alokasi dana yang akan diterima</t>
    </r>
  </si>
  <si>
    <t>Category</t>
  </si>
  <si>
    <t>% Allocation</t>
  </si>
  <si>
    <t xml:space="preserve">  Product Development</t>
  </si>
  <si>
    <t xml:space="preserve">  Marketing (User + Merchant acquisition)</t>
  </si>
  <si>
    <t xml:space="preserve">  Operations &amp; Team</t>
  </si>
  <si>
    <t xml:space="preserve">  Merchant trial &amp; subsidy</t>
  </si>
  <si>
    <t xml:space="preserve">  Buffer &amp; Contingency</t>
  </si>
  <si>
    <t>CASHFLOW STATEMENT (not final)</t>
  </si>
  <si>
    <t>🟦 Product Development
🟥 Marketing 
🟨 Operations &amp; Team 
🟩 Merchant Trial &amp; Subsidy 
🟧 Buffer &amp; Contingency</t>
  </si>
  <si>
    <t>A. OPENING CASH</t>
  </si>
  <si>
    <t>High</t>
  </si>
  <si>
    <t>UNIT ECONOMICS (not final)</t>
  </si>
  <si>
    <t>Low</t>
  </si>
  <si>
    <t>Mid</t>
  </si>
  <si>
    <t>Developer (3 Month)</t>
  </si>
  <si>
    <t>IT Needs (1 Year)</t>
  </si>
  <si>
    <t>Marketing</t>
  </si>
  <si>
    <t>Founder Salary</t>
  </si>
  <si>
    <t>Growth Trial</t>
  </si>
  <si>
    <t>Buffer</t>
  </si>
  <si>
    <t>B. CASH INFLOW</t>
  </si>
  <si>
    <t xml:space="preserve">     Revenue (Cash Basis)</t>
  </si>
  <si>
    <t xml:space="preserve">     Funding Received</t>
  </si>
  <si>
    <t>Total Cash Inflow</t>
  </si>
  <si>
    <t>C. CASH OUTFLOW</t>
  </si>
  <si>
    <t xml:space="preserve">     Total Operational Cash</t>
  </si>
  <si>
    <t>Total Cash Outflow</t>
  </si>
  <si>
    <t>D. NET CASH FLOW (B-C)</t>
  </si>
  <si>
    <t>E. CLOSING CASH (A-D)</t>
  </si>
  <si>
    <t>*make sure revenue and cost in a cash basis (not accrual)</t>
  </si>
  <si>
    <t>*update funding earlier if any capital added</t>
  </si>
  <si>
    <t>Principles:</t>
  </si>
  <si>
    <t>Net Cash Flow = TCI - TCO</t>
  </si>
  <si>
    <t>Closing Cash = Opening Cash + NCF</t>
  </si>
  <si>
    <t>MODEL 4 (IF REDUCED BY PERFORMANCE BASED ON MERCHANT ACQUISITION----NUMBERS FROM MODEL 3)</t>
  </si>
  <si>
    <t>% Fee per Merchant</t>
  </si>
  <si>
    <t>(1st case) 15% Flat (S/P/E)</t>
  </si>
  <si>
    <t>BREAK EVEN ANALYSIS (not final)</t>
  </si>
  <si>
    <t>(2nd case) 12% Flat (S/P/E)</t>
  </si>
  <si>
    <t>(3rd case) 10% Flat (S/P/E)</t>
  </si>
  <si>
    <t>(4th case) 15%S 12%P 10%E</t>
  </si>
  <si>
    <t>BURN RATE (not final)</t>
  </si>
  <si>
    <t>AVERAGE</t>
  </si>
  <si>
    <t>Total Revenue (Mix SR + PR)</t>
  </si>
  <si>
    <t>VALUATION (not final)</t>
  </si>
  <si>
    <t>Total Decrease @/month</t>
  </si>
  <si>
    <t>Glossarium</t>
  </si>
  <si>
    <t>Average Revenue Per Merchant</t>
  </si>
  <si>
    <t>Starter/Professional/Enterprise</t>
  </si>
  <si>
    <t>S/P/E</t>
  </si>
  <si>
    <t>Subscription Package</t>
  </si>
  <si>
    <t>SR</t>
  </si>
  <si>
    <t>Promotion Package</t>
  </si>
  <si>
    <t>PR</t>
  </si>
  <si>
    <t>Merchant KPI</t>
  </si>
  <si>
    <t>CAC Merchant</t>
  </si>
  <si>
    <t>ARPM (Yr1)</t>
  </si>
  <si>
    <t>Retention</t>
  </si>
  <si>
    <t>Est. LTV</t>
  </si>
  <si>
    <t>User KPI</t>
  </si>
  <si>
    <t>Activation Rate</t>
  </si>
  <si>
    <t>Repeat Visit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</si>
</sst>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23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>
      <b/>
      <sz val="20.0"/>
      <color theme="1"/>
      <name val="Arial"/>
      <scheme val="minor"/>
    </font>
    <font>
      <sz val="11.0"/>
      <color rgb="FF000000"/>
      <name val="Calibri"/>
    </font>
    <font>
      <b/>
      <color rgb="FF1155CC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b/>
      <sz val="10.0"/>
      <color rgb="FFFFFFFF"/>
      <name val="Arial"/>
      <scheme val="minor"/>
    </font>
    <font>
      <color rgb="FFFFFFFF"/>
      <name val="Arial"/>
      <scheme val="minor"/>
    </font>
    <font>
      <sz val="11.0"/>
      <color rgb="FFFFFFFF"/>
      <name val="Arial"/>
      <scheme val="minor"/>
    </font>
    <font>
      <b/>
      <color rgb="FF38761D"/>
      <name val="Arial"/>
      <scheme val="minor"/>
    </font>
    <font>
      <sz val="11.0"/>
      <color theme="1"/>
      <name val="Calibri"/>
    </font>
    <font>
      <color rgb="FFFF0000"/>
      <name val="Arial"/>
      <scheme val="minor"/>
    </font>
    <font>
      <color rgb="FF000000"/>
      <name val="Arial"/>
      <scheme val="minor"/>
    </font>
    <font>
      <b/>
      <color rgb="FF1C4587"/>
      <name val="Arial"/>
      <scheme val="minor"/>
    </font>
    <font>
      <b/>
      <color rgb="FF45818E"/>
      <name val="Arial"/>
      <scheme val="minor"/>
    </font>
    <font>
      <sz val="11.0"/>
      <color theme="1"/>
      <name val="Arial"/>
      <scheme val="minor"/>
    </font>
    <font>
      <b/>
      <color rgb="FF783F04"/>
      <name val="Arial"/>
      <scheme val="minor"/>
    </font>
    <font>
      <b/>
      <color rgb="FFB45F06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EAD1DC"/>
        <bgColor rgb="FFEAD1DC"/>
      </patternFill>
    </fill>
    <fill>
      <patternFill patternType="solid">
        <fgColor rgb="FF3C78D8"/>
        <bgColor rgb="FF3C78D8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  <fill>
      <patternFill patternType="solid">
        <fgColor rgb="FF674EA7"/>
        <bgColor rgb="FF674EA7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351C75"/>
        <bgColor rgb="FF351C75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45818E"/>
        <bgColor rgb="FF45818E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69138"/>
        <bgColor rgb="FFE69138"/>
      </patternFill>
    </fill>
    <fill>
      <patternFill patternType="solid">
        <fgColor rgb="FFA64D79"/>
        <bgColor rgb="FFA64D79"/>
      </patternFill>
    </fill>
    <fill>
      <patternFill patternType="solid">
        <fgColor rgb="FFFF00FF"/>
        <bgColor rgb="FFFF00FF"/>
      </patternFill>
    </fill>
    <fill>
      <patternFill patternType="solid">
        <fgColor rgb="FF356854"/>
        <bgColor rgb="FF356854"/>
      </patternFill>
    </fill>
    <fill>
      <patternFill patternType="solid">
        <fgColor rgb="FFCC0000"/>
        <bgColor rgb="FFCC0000"/>
      </patternFill>
    </fill>
  </fills>
  <borders count="2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/>
    </xf>
    <xf borderId="2" fillId="5" fontId="5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3" fillId="0" fontId="6" numFmtId="0" xfId="0" applyBorder="1" applyFont="1"/>
    <xf borderId="5" fillId="0" fontId="6" numFmtId="0" xfId="0" applyBorder="1" applyFont="1"/>
    <xf borderId="4" fillId="6" fontId="7" numFmtId="0" xfId="0" applyAlignment="1" applyBorder="1" applyFill="1" applyFont="1">
      <alignment horizontal="center" readingOrder="0"/>
    </xf>
    <xf borderId="0" fillId="0" fontId="8" numFmtId="9" xfId="0" applyAlignment="1" applyFont="1" applyNumberFormat="1">
      <alignment readingOrder="0"/>
    </xf>
    <xf borderId="6" fillId="0" fontId="6" numFmtId="0" xfId="0" applyBorder="1" applyFont="1"/>
    <xf borderId="7" fillId="0" fontId="6" numFmtId="0" xfId="0" applyBorder="1" applyFont="1"/>
    <xf borderId="8" fillId="7" fontId="9" numFmtId="0" xfId="0" applyAlignment="1" applyBorder="1" applyFill="1" applyFont="1">
      <alignment horizontal="center" readingOrder="0" shrinkToFit="0" vertical="bottom" wrapText="0"/>
    </xf>
    <xf borderId="8" fillId="8" fontId="10" numFmtId="0" xfId="0" applyAlignment="1" applyBorder="1" applyFill="1" applyFont="1">
      <alignment horizontal="center" readingOrder="0" shrinkToFit="0" vertical="bottom" wrapText="0"/>
    </xf>
    <xf borderId="1" fillId="0" fontId="8" numFmtId="0" xfId="0" applyBorder="1" applyFont="1"/>
    <xf borderId="8" fillId="0" fontId="10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4" fillId="9" fontId="11" numFmtId="0" xfId="0" applyAlignment="1" applyBorder="1" applyFill="1" applyFont="1">
      <alignment readingOrder="0" vertical="center"/>
    </xf>
    <xf borderId="0" fillId="0" fontId="8" numFmtId="0" xfId="0" applyAlignment="1" applyFont="1">
      <alignment readingOrder="0"/>
    </xf>
    <xf borderId="8" fillId="8" fontId="3" numFmtId="0" xfId="0" applyAlignment="1" applyBorder="1" applyFill="1" applyFont="1">
      <alignment horizontal="center" readingOrder="0" shrinkToFit="0" vertical="bottom" wrapText="0"/>
    </xf>
    <xf borderId="8" fillId="0" fontId="3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vertical="center"/>
    </xf>
    <xf borderId="8" fillId="0" fontId="3" numFmtId="0" xfId="0" applyAlignment="1" applyBorder="1" applyFont="1">
      <alignment readingOrder="0" shrinkToFit="0" vertical="bottom" wrapText="0"/>
    </xf>
    <xf borderId="1" fillId="10" fontId="7" numFmtId="0" xfId="0" applyAlignment="1" applyBorder="1" applyFill="1" applyFont="1">
      <alignment readingOrder="0" vertical="center"/>
    </xf>
    <xf borderId="8" fillId="0" fontId="3" numFmtId="164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readingOrder="0" vertical="center"/>
    </xf>
    <xf borderId="1" fillId="10" fontId="12" numFmtId="0" xfId="0" applyAlignment="1" applyBorder="1" applyFill="1" applyFont="1">
      <alignment horizontal="center" readingOrder="0" vertical="center"/>
    </xf>
    <xf borderId="8" fillId="0" fontId="3" numFmtId="9" xfId="0" applyAlignment="1" applyBorder="1" applyFont="1" applyNumberFormat="1">
      <alignment horizontal="center" readingOrder="0" shrinkToFit="0" vertical="bottom" wrapText="0"/>
    </xf>
    <xf borderId="1" fillId="5" fontId="8" numFmtId="164" xfId="0" applyAlignment="1" applyBorder="1" applyFill="1" applyFont="1" applyNumberFormat="1">
      <alignment readingOrder="0" vertical="center"/>
    </xf>
    <xf borderId="1" fillId="0" fontId="8" numFmtId="164" xfId="0" applyAlignment="1" applyBorder="1" applyFont="1" applyNumberFormat="1">
      <alignment readingOrder="0" vertical="center"/>
    </xf>
    <xf borderId="1" fillId="10" fontId="13" numFmtId="0" xfId="0" applyAlignment="1" applyBorder="1" applyFill="1" applyFont="1">
      <alignment horizontal="center" readingOrder="0" vertical="center"/>
    </xf>
    <xf borderId="9" fillId="0" fontId="8" numFmtId="0" xfId="0" applyAlignment="1" applyBorder="1" applyFont="1">
      <alignment vertical="center"/>
    </xf>
    <xf borderId="0" fillId="0" fontId="8" numFmtId="164" xfId="0" applyFont="1" applyNumberFormat="1"/>
    <xf borderId="1" fillId="0" fontId="8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1" fillId="0" fontId="8" numFmtId="164" xfId="0" applyAlignment="1" applyBorder="1" applyFont="1" applyNumberFormat="1">
      <alignment vertical="center"/>
    </xf>
    <xf borderId="0" fillId="0" fontId="10" numFmtId="0" xfId="0" applyAlignment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1" fillId="11" fontId="8" numFmtId="0" xfId="0" applyAlignment="1" applyBorder="1" applyFill="1" applyFont="1">
      <alignment readingOrder="0" vertical="center"/>
    </xf>
    <xf borderId="10" fillId="0" fontId="6" numFmtId="0" xfId="0" applyBorder="1" applyFont="1"/>
    <xf borderId="8" fillId="7" fontId="10" numFmtId="0" xfId="0" applyAlignment="1" applyBorder="1" applyFill="1" applyFont="1">
      <alignment horizontal="center" readingOrder="0" shrinkToFit="0" vertical="bottom" wrapText="0"/>
    </xf>
    <xf borderId="8" fillId="12" fontId="5" numFmtId="0" xfId="0" applyAlignment="1" applyBorder="1" applyFill="1" applyFont="1">
      <alignment readingOrder="0" vertical="center"/>
    </xf>
    <xf borderId="1" fillId="5" fontId="8" numFmtId="164" xfId="0" applyAlignment="1" applyBorder="1" applyFill="1" applyFont="1" applyNumberFormat="1">
      <alignment vertical="center"/>
    </xf>
    <xf borderId="8" fillId="12" fontId="5" numFmtId="164" xfId="0" applyAlignment="1" applyBorder="1" applyFill="1" applyFont="1" applyNumberFormat="1">
      <alignment vertical="center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8" fillId="0" fontId="8" numFmtId="0" xfId="0" applyAlignment="1" applyBorder="1" applyFont="1">
      <alignment readingOrder="0"/>
    </xf>
    <xf borderId="8" fillId="0" fontId="8" numFmtId="0" xfId="0" applyAlignment="1" applyBorder="1" applyFont="1">
      <alignment horizontal="center" readingOrder="0"/>
    </xf>
    <xf borderId="11" fillId="0" fontId="6" numFmtId="0" xfId="0" applyBorder="1" applyFont="1"/>
    <xf borderId="4" fillId="0" fontId="8" numFmtId="164" xfId="0" applyAlignment="1" applyBorder="1" applyFont="1" applyNumberFormat="1">
      <alignment readingOrder="0" vertical="center"/>
    </xf>
    <xf borderId="0" fillId="0" fontId="8" numFmtId="0" xfId="0" applyAlignment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10" fontId="12" numFmtId="164" xfId="0" applyAlignment="1" applyBorder="1" applyFill="1" applyFont="1" applyNumberFormat="1">
      <alignment vertical="center"/>
    </xf>
    <xf borderId="1" fillId="5" fontId="4" numFmtId="164" xfId="0" applyAlignment="1" applyBorder="1" applyFill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vertical="center"/>
    </xf>
    <xf borderId="4" fillId="9" fontId="7" numFmtId="0" xfId="0" applyAlignment="1" applyBorder="1" applyFill="1" applyFont="1">
      <alignment readingOrder="0" vertical="center"/>
    </xf>
    <xf borderId="0" fillId="13" fontId="1" numFmtId="0" xfId="0" applyAlignment="1" applyFill="1" applyFont="1">
      <alignment horizontal="center" readingOrder="0" vertical="center"/>
    </xf>
    <xf borderId="4" fillId="14" fontId="14" numFmtId="0" xfId="0" applyAlignment="1" applyBorder="1" applyFill="1" applyFont="1">
      <alignment readingOrder="0" vertical="center"/>
    </xf>
    <xf borderId="1" fillId="0" fontId="8" numFmtId="164" xfId="0" applyBorder="1" applyFont="1" applyNumberFormat="1"/>
    <xf borderId="1" fillId="0" fontId="5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1" fillId="0" fontId="5" numFmtId="164" xfId="0" applyAlignment="1" applyBorder="1" applyFont="1" applyNumberFormat="1">
      <alignment vertical="center"/>
    </xf>
    <xf borderId="1" fillId="5" fontId="5" numFmtId="164" xfId="0" applyAlignment="1" applyBorder="1" applyFill="1" applyFont="1" applyNumberFormat="1">
      <alignment vertical="center"/>
    </xf>
    <xf borderId="1" fillId="15" fontId="5" numFmtId="164" xfId="0" applyAlignment="1" applyBorder="1" applyFill="1" applyFont="1" applyNumberFormat="1">
      <alignment vertical="center"/>
    </xf>
    <xf borderId="0" fillId="0" fontId="15" numFmtId="0" xfId="0" applyAlignment="1" applyFont="1">
      <alignment horizontal="center" readingOrder="0" shrinkToFit="0" vertical="bottom" wrapText="0"/>
    </xf>
    <xf borderId="0" fillId="0" fontId="15" numFmtId="164" xfId="0" applyAlignment="1" applyFont="1" applyNumberFormat="1">
      <alignment horizontal="center" readingOrder="0" shrinkToFit="0" vertical="bottom" wrapText="0"/>
    </xf>
    <xf borderId="1" fillId="5" fontId="9" numFmtId="0" xfId="0" applyAlignment="1" applyBorder="1" applyFill="1" applyFont="1">
      <alignment horizontal="center" readingOrder="0" shrinkToFit="0" vertical="bottom" wrapText="0"/>
    </xf>
    <xf borderId="1" fillId="5" fontId="15" numFmtId="164" xfId="0" applyAlignment="1" applyBorder="1" applyFill="1" applyFont="1" applyNumberFormat="1">
      <alignment horizontal="center" readingOrder="0" shrinkToFit="0" vertical="bottom" wrapText="0"/>
    </xf>
    <xf borderId="0" fillId="0" fontId="5" numFmtId="164" xfId="0" applyFont="1" applyNumberFormat="1"/>
    <xf borderId="1" fillId="14" fontId="14" numFmtId="0" xfId="0" applyAlignment="1" applyBorder="1" applyFill="1" applyFont="1">
      <alignment readingOrder="0"/>
    </xf>
    <xf borderId="1" fillId="0" fontId="8" numFmtId="164" xfId="0" applyAlignment="1" applyBorder="1" applyFont="1" applyNumberFormat="1">
      <alignment horizontal="center" readingOrder="0"/>
    </xf>
    <xf borderId="0" fillId="16" fontId="1" numFmtId="0" xfId="0" applyAlignment="1" applyFill="1" applyFont="1">
      <alignment horizontal="center" readingOrder="0" vertical="center"/>
    </xf>
    <xf borderId="4" fillId="9" fontId="7" numFmtId="0" xfId="0" applyAlignment="1" applyBorder="1" applyFill="1" applyFont="1">
      <alignment horizontal="center" readingOrder="0" vertical="center"/>
    </xf>
    <xf borderId="1" fillId="9" fontId="7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4" fillId="13" fontId="7" numFmtId="0" xfId="0" applyAlignment="1" applyBorder="1" applyFill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4" fillId="17" fontId="7" numFmtId="0" xfId="0" applyAlignment="1" applyBorder="1" applyFill="1" applyFont="1">
      <alignment horizontal="center" readingOrder="0" vertical="center"/>
    </xf>
    <xf borderId="1" fillId="0" fontId="16" numFmtId="164" xfId="0" applyBorder="1" applyFont="1" applyNumberFormat="1"/>
    <xf borderId="1" fillId="17" fontId="7" numFmtId="0" xfId="0" applyAlignment="1" applyBorder="1" applyFill="1" applyFont="1">
      <alignment horizontal="center" readingOrder="0" vertical="center"/>
    </xf>
    <xf borderId="1" fillId="18" fontId="5" numFmtId="0" xfId="0" applyAlignment="1" applyBorder="1" applyFill="1" applyFont="1">
      <alignment readingOrder="0" vertical="center"/>
    </xf>
    <xf borderId="1" fillId="19" fontId="5" numFmtId="0" xfId="0" applyAlignment="1" applyBorder="1" applyFill="1" applyFont="1">
      <alignment readingOrder="0" vertical="center"/>
    </xf>
    <xf borderId="1" fillId="19" fontId="5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1" fillId="0" fontId="8" numFmtId="164" xfId="0" applyAlignment="1" applyBorder="1" applyFont="1" applyNumberFormat="1">
      <alignment readingOrder="0"/>
    </xf>
    <xf borderId="1" fillId="0" fontId="8" numFmtId="0" xfId="0" applyAlignment="1" applyBorder="1" applyFont="1">
      <alignment horizontal="center" readingOrder="0"/>
    </xf>
    <xf borderId="1" fillId="0" fontId="16" numFmtId="164" xfId="0" applyAlignment="1" applyBorder="1" applyFont="1" applyNumberFormat="1">
      <alignment horizontal="right" readingOrder="0"/>
    </xf>
    <xf borderId="1" fillId="0" fontId="17" numFmtId="164" xfId="0" applyAlignment="1" applyBorder="1" applyFont="1" applyNumberFormat="1">
      <alignment horizontal="right" readingOrder="0"/>
    </xf>
    <xf borderId="1" fillId="0" fontId="8" numFmtId="164" xfId="0" applyAlignment="1" applyBorder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8" numFmtId="164" xfId="0" applyAlignment="1" applyFont="1" applyNumberFormat="1">
      <alignment readingOrder="0"/>
    </xf>
    <xf borderId="1" fillId="19" fontId="14" numFmtId="0" xfId="0" applyAlignment="1" applyBorder="1" applyFill="1" applyFont="1">
      <alignment readingOrder="0" vertical="center"/>
    </xf>
    <xf borderId="1" fillId="19" fontId="14" numFmtId="164" xfId="0" applyAlignment="1" applyBorder="1" applyFill="1" applyFont="1" applyNumberFormat="1">
      <alignment vertical="center"/>
    </xf>
    <xf borderId="1" fillId="19" fontId="14" numFmtId="164" xfId="0" applyBorder="1" applyFill="1" applyFont="1" applyNumberFormat="1"/>
    <xf borderId="12" fillId="0" fontId="5" numFmtId="0" xfId="0" applyAlignment="1" applyBorder="1" applyFont="1">
      <alignment readingOrder="0" vertical="center"/>
    </xf>
    <xf borderId="13" fillId="0" fontId="6" numFmtId="0" xfId="0" applyBorder="1" applyFont="1"/>
    <xf borderId="14" fillId="0" fontId="6" numFmtId="0" xfId="0" applyBorder="1" applyFont="1"/>
    <xf borderId="4" fillId="18" fontId="18" numFmtId="0" xfId="0" applyAlignment="1" applyBorder="1" applyFill="1" applyFont="1">
      <alignment readingOrder="0" vertical="center"/>
    </xf>
    <xf borderId="1" fillId="18" fontId="18" numFmtId="164" xfId="0" applyAlignment="1" applyBorder="1" applyFill="1" applyFont="1" applyNumberFormat="1">
      <alignment vertical="center"/>
    </xf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4" fillId="4" fontId="7" numFmtId="0" xfId="0" applyAlignment="1" applyBorder="1" applyFill="1" applyFont="1">
      <alignment horizontal="center" readingOrder="0" vertical="center"/>
    </xf>
    <xf borderId="4" fillId="20" fontId="7" numFmtId="0" xfId="0" applyAlignment="1" applyBorder="1" applyFill="1" applyFont="1">
      <alignment horizontal="center" readingOrder="0" vertical="center"/>
    </xf>
    <xf borderId="1" fillId="11" fontId="5" numFmtId="0" xfId="0" applyAlignment="1" applyBorder="1" applyFill="1" applyFont="1">
      <alignment readingOrder="0"/>
    </xf>
    <xf borderId="1" fillId="11" fontId="5" numFmtId="0" xfId="0" applyAlignment="1" applyBorder="1" applyFill="1" applyFont="1">
      <alignment horizontal="center" readingOrder="0"/>
    </xf>
    <xf borderId="13" fillId="8" fontId="5" numFmtId="0" xfId="0" applyAlignment="1" applyBorder="1" applyFill="1" applyFont="1">
      <alignment horizontal="center" readingOrder="0" vertical="center"/>
    </xf>
    <xf borderId="12" fillId="11" fontId="5" numFmtId="0" xfId="0" applyAlignment="1" applyBorder="1" applyFill="1" applyFont="1">
      <alignment readingOrder="0" vertical="center"/>
    </xf>
    <xf borderId="1" fillId="7" fontId="5" numFmtId="0" xfId="0" applyAlignment="1" applyBorder="1" applyFill="1" applyFont="1">
      <alignment readingOrder="0"/>
    </xf>
    <xf borderId="1" fillId="0" fontId="8" numFmtId="164" xfId="0" applyAlignment="1" applyBorder="1" applyFont="1" applyNumberFormat="1">
      <alignment horizontal="right" readingOrder="0"/>
    </xf>
    <xf borderId="12" fillId="0" fontId="8" numFmtId="0" xfId="0" applyAlignment="1" applyBorder="1" applyFont="1">
      <alignment readingOrder="0"/>
    </xf>
    <xf borderId="18" fillId="0" fontId="8" numFmtId="0" xfId="0" applyAlignment="1" applyBorder="1" applyFont="1">
      <alignment readingOrder="0"/>
    </xf>
    <xf borderId="19" fillId="0" fontId="6" numFmtId="0" xfId="0" applyBorder="1" applyFont="1"/>
    <xf borderId="1" fillId="0" fontId="5" numFmtId="0" xfId="0" applyAlignment="1" applyBorder="1" applyFont="1">
      <alignment readingOrder="0"/>
    </xf>
    <xf borderId="1" fillId="0" fontId="8" numFmtId="0" xfId="0" applyAlignment="1" applyBorder="1" applyFont="1">
      <alignment horizontal="right" readingOrder="0"/>
    </xf>
    <xf borderId="1" fillId="0" fontId="8" numFmtId="9" xfId="0" applyAlignment="1" applyBorder="1" applyFont="1" applyNumberFormat="1">
      <alignment horizontal="right" readingOrder="0"/>
    </xf>
    <xf borderId="1" fillId="19" fontId="19" numFmtId="0" xfId="0" applyAlignment="1" applyBorder="1" applyFill="1" applyFont="1">
      <alignment readingOrder="0"/>
    </xf>
    <xf borderId="1" fillId="19" fontId="19" numFmtId="164" xfId="0" applyBorder="1" applyFill="1" applyFont="1" applyNumberFormat="1"/>
    <xf borderId="15" fillId="0" fontId="8" numFmtId="0" xfId="0" applyAlignment="1" applyBorder="1" applyFont="1">
      <alignment readingOrder="0"/>
    </xf>
    <xf borderId="4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20" numFmtId="0" xfId="0" applyAlignment="1" applyFont="1">
      <alignment readingOrder="0"/>
    </xf>
    <xf borderId="0" fillId="0" fontId="7" numFmtId="0" xfId="0" applyAlignment="1" applyFont="1">
      <alignment horizontal="center" readingOrder="0" vertical="center"/>
    </xf>
    <xf borderId="4" fillId="21" fontId="7" numFmtId="0" xfId="0" applyAlignment="1" applyBorder="1" applyFill="1" applyFont="1">
      <alignment horizontal="center" readingOrder="0" vertical="center"/>
    </xf>
    <xf borderId="1" fillId="22" fontId="5" numFmtId="0" xfId="0" applyAlignment="1" applyBorder="1" applyFill="1" applyFont="1">
      <alignment readingOrder="0"/>
    </xf>
    <xf borderId="1" fillId="0" fontId="8" numFmtId="10" xfId="0" applyBorder="1" applyFont="1" applyNumberFormat="1"/>
    <xf borderId="9" fillId="22" fontId="5" numFmtId="164" xfId="0" applyBorder="1" applyFill="1" applyFont="1" applyNumberFormat="1"/>
    <xf borderId="9" fillId="22" fontId="5" numFmtId="10" xfId="0" applyBorder="1" applyFill="1" applyFont="1" applyNumberFormat="1"/>
    <xf borderId="20" fillId="0" fontId="8" numFmtId="0" xfId="0" applyAlignment="1" applyBorder="1" applyFont="1">
      <alignment horizontal="center" readingOrder="0" vertical="center"/>
    </xf>
    <xf borderId="21" fillId="0" fontId="6" numFmtId="0" xfId="0" applyBorder="1" applyFont="1"/>
    <xf borderId="0" fillId="23" fontId="1" numFmtId="0" xfId="0" applyAlignment="1" applyFill="1" applyFont="1">
      <alignment horizontal="center" readingOrder="0" vertical="center"/>
    </xf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1" fillId="21" fontId="21" numFmtId="0" xfId="0" applyAlignment="1" applyBorder="1" applyFill="1" applyFont="1">
      <alignment readingOrder="0"/>
    </xf>
    <xf borderId="1" fillId="21" fontId="21" numFmtId="164" xfId="0" applyAlignment="1" applyBorder="1" applyFill="1" applyFont="1" applyNumberForma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24" fontId="1" numFmtId="0" xfId="0" applyAlignment="1" applyFill="1" applyFont="1">
      <alignment horizontal="center" readingOrder="0" vertical="center"/>
    </xf>
    <xf borderId="1" fillId="21" fontId="21" numFmtId="164" xfId="0" applyBorder="1" applyFill="1" applyFont="1" applyNumberFormat="1"/>
    <xf borderId="1" fillId="21" fontId="21" numFmtId="0" xfId="0" applyBorder="1" applyFill="1" applyFont="1"/>
    <xf borderId="1" fillId="0" fontId="22" numFmtId="0" xfId="0" applyAlignment="1" applyBorder="1" applyFont="1">
      <alignment readingOrder="0"/>
    </xf>
    <xf borderId="4" fillId="13" fontId="7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0" fillId="20" fontId="1" numFmtId="0" xfId="0" applyAlignment="1" applyFill="1" applyFont="1">
      <alignment horizontal="center" readingOrder="0" vertical="center"/>
    </xf>
    <xf borderId="1" fillId="0" fontId="15" numFmtId="164" xfId="0" applyAlignment="1" applyBorder="1" applyFont="1" applyNumberFormat="1">
      <alignment horizontal="right" readingOrder="0"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horizontal="right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right" readingOrder="0" shrinkToFit="0" vertical="bottom" wrapText="0"/>
    </xf>
    <xf borderId="0" fillId="25" fontId="1" numFmtId="0" xfId="0" applyAlignment="1" applyFill="1" applyFont="1">
      <alignment horizontal="center" readingOrder="0" vertical="center"/>
    </xf>
    <xf borderId="1" fillId="26" fontId="7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15" fontId="5" numFmtId="164" xfId="0" applyBorder="1" applyFill="1" applyFont="1" applyNumberFormat="1"/>
    <xf borderId="9" fillId="0" fontId="8" numFmtId="0" xfId="0" applyAlignment="1" applyBorder="1" applyFont="1">
      <alignment horizontal="center" readingOrder="0" vertical="center"/>
    </xf>
    <xf borderId="0" fillId="27" fontId="1" numFmtId="0" xfId="0" applyAlignment="1" applyFill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/>
    </xf>
    <xf borderId="1" fillId="0" fontId="8" numFmtId="10" xfId="0" applyAlignment="1" applyBorder="1" applyFont="1" applyNumberFormat="1">
      <alignment horizontal="center"/>
    </xf>
    <xf borderId="4" fillId="11" fontId="5" numFmtId="0" xfId="0" applyAlignment="1" applyBorder="1" applyFill="1" applyFont="1">
      <alignment horizontal="center" readingOrder="0"/>
    </xf>
    <xf borderId="0" fillId="0" fontId="8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'FUNDING ANALYSIS'!$D$32:$D$36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35</xdr:row>
      <xdr:rowOff>190500</xdr:rowOff>
    </xdr:from>
    <xdr:ext cx="2733675" cy="17430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4" max="4" width="15.13"/>
    <col customWidth="1" min="5" max="5" width="20.88"/>
  </cols>
  <sheetData>
    <row r="2" ht="34.5" customHeight="1">
      <c r="B2" s="1" t="s">
        <v>1</v>
      </c>
      <c r="F2" s="11"/>
    </row>
    <row r="4">
      <c r="B4" s="14" t="s">
        <v>20</v>
      </c>
      <c r="C4" s="14" t="s">
        <v>28</v>
      </c>
      <c r="D4" s="14" t="s">
        <v>29</v>
      </c>
      <c r="E4" s="14" t="s">
        <v>30</v>
      </c>
      <c r="H4" s="18" t="s">
        <v>32</v>
      </c>
      <c r="K4" s="21" t="s">
        <v>34</v>
      </c>
      <c r="L4" s="21" t="s">
        <v>35</v>
      </c>
      <c r="M4" s="21" t="s">
        <v>36</v>
      </c>
      <c r="O4" s="21" t="s">
        <v>37</v>
      </c>
    </row>
    <row r="5">
      <c r="B5" s="25" t="s">
        <v>38</v>
      </c>
      <c r="C5" s="27">
        <v>299000.0</v>
      </c>
      <c r="D5" s="23" t="s">
        <v>40</v>
      </c>
      <c r="E5" s="30">
        <v>0.3</v>
      </c>
      <c r="H5" s="35">
        <f t="shared" ref="H5:H7" si="1">C5*12</f>
        <v>3588000</v>
      </c>
      <c r="I5" s="11">
        <v>0.15</v>
      </c>
      <c r="K5" s="35">
        <f>$I$5*$C$5*3</f>
        <v>134550</v>
      </c>
      <c r="L5" s="35">
        <f>$I$5*$C$5*6</f>
        <v>269100</v>
      </c>
      <c r="M5" s="35">
        <f>$I$5*$C$5*12</f>
        <v>538200</v>
      </c>
      <c r="O5" s="35">
        <f t="shared" ref="O5:O7" si="2">3*K5</f>
        <v>403650</v>
      </c>
    </row>
    <row r="6">
      <c r="B6" s="25" t="s">
        <v>45</v>
      </c>
      <c r="C6" s="27">
        <v>599000.0</v>
      </c>
      <c r="D6" s="23" t="s">
        <v>40</v>
      </c>
      <c r="E6" s="30">
        <v>0.5</v>
      </c>
      <c r="H6" s="35">
        <f t="shared" si="1"/>
        <v>7188000</v>
      </c>
      <c r="I6" s="11">
        <v>0.12</v>
      </c>
      <c r="K6" s="35">
        <f>$I$6*$C$6*3</f>
        <v>215640</v>
      </c>
      <c r="L6" s="35">
        <f>$I$6*$C$6*6</f>
        <v>431280</v>
      </c>
      <c r="M6" s="35">
        <f>$I$6*$C$6*12</f>
        <v>862560</v>
      </c>
      <c r="O6" s="35">
        <f t="shared" si="2"/>
        <v>646920</v>
      </c>
    </row>
    <row r="7">
      <c r="B7" s="25" t="s">
        <v>47</v>
      </c>
      <c r="C7" s="27">
        <v>799000.0</v>
      </c>
      <c r="D7" s="23" t="s">
        <v>40</v>
      </c>
      <c r="E7" s="30">
        <v>0.2</v>
      </c>
      <c r="H7" s="35">
        <f t="shared" si="1"/>
        <v>9588000</v>
      </c>
      <c r="I7" s="11">
        <v>0.1</v>
      </c>
      <c r="K7" s="35">
        <f>$I$7*$C$7*3</f>
        <v>239700</v>
      </c>
      <c r="L7" s="35">
        <f>$I$7*$C$7*6</f>
        <v>479400</v>
      </c>
      <c r="M7" s="35">
        <f>$I$7*$C$7*12</f>
        <v>958800</v>
      </c>
      <c r="O7" s="35">
        <f t="shared" si="2"/>
        <v>719100</v>
      </c>
    </row>
    <row r="9">
      <c r="B9" s="44" t="s">
        <v>50</v>
      </c>
      <c r="C9" s="44" t="s">
        <v>52</v>
      </c>
    </row>
    <row r="10">
      <c r="B10" s="25" t="s">
        <v>53</v>
      </c>
      <c r="C10" s="27">
        <v>15000.0</v>
      </c>
      <c r="E10" s="45" t="s">
        <v>55</v>
      </c>
      <c r="F10" s="47">
        <f>AVERAGE(C10:C13)</f>
        <v>16250</v>
      </c>
    </row>
    <row r="11">
      <c r="B11" s="25" t="s">
        <v>56</v>
      </c>
      <c r="C11" s="27">
        <v>15000.0</v>
      </c>
    </row>
    <row r="12">
      <c r="B12" s="25" t="s">
        <v>57</v>
      </c>
      <c r="C12" s="27">
        <v>20000.0</v>
      </c>
      <c r="D12" s="4"/>
      <c r="E12" s="4"/>
    </row>
    <row r="13">
      <c r="B13" s="25" t="s">
        <v>58</v>
      </c>
      <c r="C13" s="27">
        <v>15000.0</v>
      </c>
      <c r="D13" s="4"/>
      <c r="E13" s="4"/>
    </row>
    <row r="14">
      <c r="B14" s="48"/>
      <c r="C14" s="49"/>
      <c r="D14" s="4"/>
      <c r="E14" s="4"/>
    </row>
    <row r="15">
      <c r="B15" s="4"/>
      <c r="C15" s="50"/>
      <c r="D15" s="4"/>
      <c r="E15" s="4"/>
    </row>
    <row r="16">
      <c r="B16" s="44" t="s">
        <v>60</v>
      </c>
      <c r="C16" s="44" t="s">
        <v>61</v>
      </c>
      <c r="D16" s="4"/>
      <c r="E16" s="4"/>
    </row>
    <row r="17">
      <c r="B17" s="25" t="s">
        <v>62</v>
      </c>
      <c r="C17" s="23">
        <v>50.0</v>
      </c>
      <c r="D17" s="4"/>
      <c r="E17" s="4"/>
    </row>
    <row r="18">
      <c r="B18" s="25" t="s">
        <v>63</v>
      </c>
      <c r="C18" s="23">
        <v>1000.0</v>
      </c>
      <c r="D18" s="4"/>
      <c r="E18" s="4"/>
    </row>
    <row r="19">
      <c r="B19" s="25" t="s">
        <v>64</v>
      </c>
      <c r="C19" s="27">
        <v>200000.0</v>
      </c>
      <c r="D19" s="4"/>
      <c r="E19" s="4"/>
    </row>
    <row r="20">
      <c r="B20" s="25" t="s">
        <v>65</v>
      </c>
      <c r="C20" s="30">
        <v>0.85</v>
      </c>
      <c r="D20" s="4"/>
      <c r="E20" s="4"/>
    </row>
    <row r="21">
      <c r="B21" s="25" t="s">
        <v>66</v>
      </c>
      <c r="C21" s="30">
        <v>0.3</v>
      </c>
      <c r="D21" s="4"/>
      <c r="E21" s="4"/>
    </row>
    <row r="22">
      <c r="B22" s="51" t="s">
        <v>67</v>
      </c>
      <c r="C22" s="52">
        <v>10000.0</v>
      </c>
      <c r="D22" s="41" t="s">
        <v>69</v>
      </c>
      <c r="E22" s="41" t="s">
        <v>70</v>
      </c>
    </row>
    <row r="23">
      <c r="D23" s="4"/>
      <c r="E23" s="4"/>
    </row>
    <row r="24">
      <c r="D24" s="4"/>
      <c r="E24" s="4"/>
    </row>
    <row r="25">
      <c r="D25" s="4"/>
      <c r="E25" s="4"/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5" width="13.0"/>
  </cols>
  <sheetData>
    <row r="2">
      <c r="B2" s="1" t="s">
        <v>0</v>
      </c>
    </row>
    <row r="4">
      <c r="B4" s="6" t="s">
        <v>5</v>
      </c>
      <c r="C4" s="8"/>
      <c r="D4" s="9"/>
      <c r="F4" s="6" t="s">
        <v>12</v>
      </c>
      <c r="G4" s="8"/>
      <c r="H4" s="9"/>
      <c r="J4" s="6" t="s">
        <v>18</v>
      </c>
      <c r="K4" s="8"/>
      <c r="L4" s="9"/>
    </row>
    <row r="5">
      <c r="B5" s="15" t="s">
        <v>25</v>
      </c>
      <c r="C5" s="17" t="s">
        <v>31</v>
      </c>
      <c r="D5" s="17" t="s">
        <v>33</v>
      </c>
      <c r="F5" s="15" t="s">
        <v>25</v>
      </c>
      <c r="G5" s="17" t="s">
        <v>31</v>
      </c>
      <c r="H5" s="17" t="s">
        <v>33</v>
      </c>
      <c r="J5" s="15" t="s">
        <v>25</v>
      </c>
      <c r="K5" s="17" t="s">
        <v>31</v>
      </c>
      <c r="L5" s="17" t="s">
        <v>33</v>
      </c>
    </row>
    <row r="6">
      <c r="B6" s="22">
        <v>1.0</v>
      </c>
      <c r="C6" s="23">
        <v>50.0</v>
      </c>
      <c r="D6" s="23">
        <v>1000.0</v>
      </c>
      <c r="F6" s="22">
        <v>1.0</v>
      </c>
      <c r="G6" s="23">
        <v>400.0</v>
      </c>
      <c r="H6" s="23"/>
      <c r="J6" s="22">
        <v>1.0</v>
      </c>
      <c r="K6" s="23"/>
      <c r="L6" s="23"/>
    </row>
    <row r="7">
      <c r="B7" s="22">
        <v>2.0</v>
      </c>
      <c r="C7" s="23">
        <v>65.0</v>
      </c>
      <c r="D7" s="23">
        <v>1800.0</v>
      </c>
      <c r="F7" s="22">
        <v>2.0</v>
      </c>
      <c r="G7" s="23"/>
      <c r="H7" s="23"/>
      <c r="J7" s="22">
        <v>2.0</v>
      </c>
      <c r="K7" s="23"/>
      <c r="L7" s="23"/>
    </row>
    <row r="8">
      <c r="B8" s="22">
        <v>3.0</v>
      </c>
      <c r="C8" s="23">
        <v>82.0</v>
      </c>
      <c r="D8" s="23">
        <v>3000.0</v>
      </c>
      <c r="F8" s="22">
        <v>3.0</v>
      </c>
      <c r="G8" s="23"/>
      <c r="H8" s="23"/>
      <c r="J8" s="22">
        <v>3.0</v>
      </c>
      <c r="K8" s="23"/>
      <c r="L8" s="23"/>
    </row>
    <row r="9">
      <c r="B9" s="22">
        <v>4.0</v>
      </c>
      <c r="C9" s="23">
        <v>100.0</v>
      </c>
      <c r="D9" s="23">
        <v>4500.0</v>
      </c>
      <c r="F9" s="22">
        <v>4.0</v>
      </c>
      <c r="G9" s="23"/>
      <c r="H9" s="23"/>
      <c r="J9" s="22">
        <v>4.0</v>
      </c>
      <c r="K9" s="23"/>
      <c r="L9" s="23"/>
    </row>
    <row r="10">
      <c r="B10" s="22">
        <v>5.0</v>
      </c>
      <c r="C10" s="23">
        <v>120.0</v>
      </c>
      <c r="D10" s="23">
        <v>6500.0</v>
      </c>
      <c r="F10" s="22">
        <v>5.0</v>
      </c>
      <c r="G10" s="23"/>
      <c r="H10" s="23"/>
      <c r="J10" s="22">
        <v>5.0</v>
      </c>
      <c r="K10" s="23"/>
      <c r="L10" s="23"/>
    </row>
    <row r="11">
      <c r="B11" s="22">
        <v>6.0</v>
      </c>
      <c r="C11" s="23">
        <v>145.0</v>
      </c>
      <c r="D11" s="23">
        <v>9000.0</v>
      </c>
      <c r="F11" s="22">
        <v>6.0</v>
      </c>
      <c r="G11" s="23"/>
      <c r="H11" s="23"/>
      <c r="J11" s="22">
        <v>6.0</v>
      </c>
      <c r="K11" s="23"/>
      <c r="L11" s="23"/>
    </row>
    <row r="12">
      <c r="B12" s="22">
        <v>7.0</v>
      </c>
      <c r="C12" s="23">
        <v>170.0</v>
      </c>
      <c r="D12" s="23">
        <v>12000.0</v>
      </c>
      <c r="F12" s="22">
        <v>7.0</v>
      </c>
      <c r="G12" s="23"/>
      <c r="H12" s="23"/>
      <c r="J12" s="22">
        <v>7.0</v>
      </c>
      <c r="K12" s="23"/>
      <c r="L12" s="23"/>
    </row>
    <row r="13">
      <c r="B13" s="22">
        <v>8.0</v>
      </c>
      <c r="C13" s="23">
        <v>200.0</v>
      </c>
      <c r="D13" s="23">
        <v>16000.0</v>
      </c>
      <c r="F13" s="22">
        <v>8.0</v>
      </c>
      <c r="G13" s="23"/>
      <c r="H13" s="23"/>
      <c r="J13" s="22">
        <v>8.0</v>
      </c>
      <c r="K13" s="23"/>
      <c r="L13" s="23"/>
    </row>
    <row r="14">
      <c r="B14" s="22">
        <v>9.0</v>
      </c>
      <c r="C14" s="23">
        <v>230.0</v>
      </c>
      <c r="D14" s="23">
        <v>21000.0</v>
      </c>
      <c r="F14" s="22">
        <v>9.0</v>
      </c>
      <c r="G14" s="23"/>
      <c r="H14" s="23"/>
      <c r="J14" s="22">
        <v>9.0</v>
      </c>
      <c r="K14" s="23"/>
      <c r="L14" s="23"/>
    </row>
    <row r="15">
      <c r="B15" s="22">
        <v>10.0</v>
      </c>
      <c r="C15" s="23">
        <v>265.0</v>
      </c>
      <c r="D15" s="23">
        <v>27000.0</v>
      </c>
      <c r="F15" s="22">
        <v>10.0</v>
      </c>
      <c r="G15" s="23"/>
      <c r="H15" s="23"/>
      <c r="J15" s="22">
        <v>10.0</v>
      </c>
      <c r="K15" s="23"/>
      <c r="L15" s="23"/>
    </row>
    <row r="16">
      <c r="B16" s="22">
        <v>11.0</v>
      </c>
      <c r="C16" s="23">
        <v>300.0</v>
      </c>
      <c r="D16" s="23">
        <v>34000.0</v>
      </c>
      <c r="F16" s="22">
        <v>11.0</v>
      </c>
      <c r="G16" s="23"/>
      <c r="H16" s="23"/>
      <c r="J16" s="22">
        <v>11.0</v>
      </c>
      <c r="K16" s="23"/>
      <c r="L16" s="23"/>
    </row>
    <row r="17">
      <c r="B17" s="22">
        <v>12.0</v>
      </c>
      <c r="C17" s="23">
        <v>340.0</v>
      </c>
      <c r="D17" s="23">
        <v>42000.0</v>
      </c>
      <c r="F17" s="22">
        <v>12.0</v>
      </c>
      <c r="G17" s="23"/>
      <c r="H17" s="23"/>
      <c r="J17" s="22">
        <v>12.0</v>
      </c>
      <c r="K17" s="23"/>
      <c r="L17" s="23"/>
    </row>
    <row r="19">
      <c r="B19" s="6" t="s">
        <v>41</v>
      </c>
      <c r="C19" s="8"/>
      <c r="D19" s="9"/>
      <c r="F19" s="6" t="s">
        <v>43</v>
      </c>
      <c r="G19" s="8"/>
      <c r="H19" s="9"/>
      <c r="J19" s="37"/>
      <c r="K19" s="37"/>
      <c r="L19" s="37"/>
    </row>
    <row r="20">
      <c r="B20" s="15" t="s">
        <v>25</v>
      </c>
      <c r="C20" s="17" t="s">
        <v>31</v>
      </c>
      <c r="D20" s="17" t="s">
        <v>33</v>
      </c>
      <c r="F20" s="15" t="s">
        <v>25</v>
      </c>
      <c r="G20" s="17" t="s">
        <v>31</v>
      </c>
      <c r="H20" s="17" t="s">
        <v>33</v>
      </c>
      <c r="J20" s="39"/>
      <c r="K20" s="39"/>
      <c r="L20" s="39"/>
    </row>
    <row r="21">
      <c r="B21" s="22">
        <v>1.0</v>
      </c>
      <c r="C21" s="23"/>
      <c r="D21" s="23"/>
      <c r="F21" s="22">
        <v>1.0</v>
      </c>
      <c r="G21" s="23"/>
      <c r="H21" s="23"/>
      <c r="J21" s="41"/>
      <c r="K21" s="41"/>
      <c r="L21" s="41"/>
    </row>
    <row r="22">
      <c r="B22" s="22">
        <v>2.0</v>
      </c>
      <c r="C22" s="23"/>
      <c r="D22" s="23"/>
      <c r="F22" s="22">
        <v>2.0</v>
      </c>
      <c r="G22" s="23"/>
      <c r="H22" s="23"/>
      <c r="J22" s="41"/>
      <c r="K22" s="41"/>
      <c r="L22" s="41"/>
    </row>
    <row r="23">
      <c r="B23" s="22">
        <v>3.0</v>
      </c>
      <c r="C23" s="23"/>
      <c r="D23" s="23"/>
      <c r="F23" s="22">
        <v>3.0</v>
      </c>
      <c r="G23" s="23"/>
      <c r="H23" s="23"/>
      <c r="J23" s="41"/>
      <c r="K23" s="41"/>
      <c r="L23" s="41"/>
    </row>
    <row r="24">
      <c r="B24" s="22">
        <v>4.0</v>
      </c>
      <c r="C24" s="23"/>
      <c r="D24" s="23"/>
      <c r="F24" s="22">
        <v>4.0</v>
      </c>
      <c r="G24" s="23"/>
      <c r="H24" s="23"/>
      <c r="J24" s="41"/>
      <c r="K24" s="41"/>
      <c r="L24" s="41"/>
    </row>
    <row r="25">
      <c r="B25" s="22">
        <v>5.0</v>
      </c>
      <c r="C25" s="23"/>
      <c r="D25" s="23"/>
      <c r="F25" s="22">
        <v>5.0</v>
      </c>
      <c r="G25" s="23"/>
      <c r="H25" s="23"/>
      <c r="J25" s="41"/>
      <c r="K25" s="41"/>
      <c r="L25" s="41"/>
    </row>
    <row r="26">
      <c r="B26" s="22">
        <v>6.0</v>
      </c>
      <c r="C26" s="23"/>
      <c r="D26" s="23"/>
      <c r="F26" s="22">
        <v>6.0</v>
      </c>
      <c r="G26" s="23"/>
      <c r="H26" s="23"/>
      <c r="J26" s="41"/>
      <c r="K26" s="41"/>
      <c r="L26" s="41"/>
    </row>
    <row r="27">
      <c r="B27" s="22">
        <v>7.0</v>
      </c>
      <c r="C27" s="23"/>
      <c r="D27" s="23"/>
      <c r="F27" s="22">
        <v>7.0</v>
      </c>
      <c r="G27" s="23"/>
      <c r="H27" s="23"/>
      <c r="J27" s="41"/>
      <c r="K27" s="41"/>
      <c r="L27" s="41"/>
    </row>
    <row r="28">
      <c r="B28" s="22">
        <v>8.0</v>
      </c>
      <c r="C28" s="23"/>
      <c r="D28" s="23"/>
      <c r="F28" s="22">
        <v>8.0</v>
      </c>
      <c r="G28" s="23"/>
      <c r="H28" s="23"/>
      <c r="J28" s="41"/>
      <c r="K28" s="41"/>
      <c r="L28" s="41"/>
    </row>
    <row r="29">
      <c r="B29" s="22">
        <v>9.0</v>
      </c>
      <c r="C29" s="23"/>
      <c r="D29" s="23"/>
      <c r="F29" s="22">
        <v>9.0</v>
      </c>
      <c r="G29" s="23"/>
      <c r="H29" s="23"/>
      <c r="J29" s="41"/>
      <c r="K29" s="41"/>
      <c r="L29" s="41"/>
    </row>
    <row r="30">
      <c r="B30" s="22">
        <v>10.0</v>
      </c>
      <c r="C30" s="23"/>
      <c r="D30" s="23"/>
      <c r="F30" s="22">
        <v>10.0</v>
      </c>
      <c r="G30" s="23"/>
      <c r="H30" s="23"/>
      <c r="J30" s="41"/>
      <c r="K30" s="41"/>
      <c r="L30" s="41"/>
    </row>
    <row r="31">
      <c r="B31" s="22">
        <v>11.0</v>
      </c>
      <c r="C31" s="23"/>
      <c r="D31" s="23"/>
      <c r="F31" s="22">
        <v>11.0</v>
      </c>
      <c r="G31" s="23"/>
      <c r="H31" s="23"/>
      <c r="J31" s="41"/>
      <c r="K31" s="41"/>
      <c r="L31" s="41"/>
    </row>
    <row r="32">
      <c r="B32" s="22">
        <v>12.0</v>
      </c>
      <c r="C32" s="23"/>
      <c r="D32" s="23"/>
      <c r="F32" s="22">
        <v>12.0</v>
      </c>
      <c r="G32" s="23"/>
      <c r="H32" s="23"/>
      <c r="J32" s="41"/>
      <c r="K32" s="41"/>
      <c r="L32" s="41"/>
    </row>
  </sheetData>
  <mergeCells count="6">
    <mergeCell ref="B2:H2"/>
    <mergeCell ref="B4:D4"/>
    <mergeCell ref="F4:H4"/>
    <mergeCell ref="J4:L4"/>
    <mergeCell ref="B19:D19"/>
    <mergeCell ref="F19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14" width="13.5"/>
    <col customWidth="1" min="15" max="15" width="15.13"/>
  </cols>
  <sheetData>
    <row r="2">
      <c r="B2" s="2" t="s">
        <v>2</v>
      </c>
    </row>
    <row r="3">
      <c r="K3" s="4"/>
    </row>
    <row r="4">
      <c r="B4" s="10" t="s">
        <v>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>
      <c r="B5" s="16"/>
      <c r="C5" s="19" t="s">
        <v>10</v>
      </c>
      <c r="D5" s="19" t="s">
        <v>11</v>
      </c>
      <c r="E5" s="19" t="s">
        <v>13</v>
      </c>
      <c r="F5" s="19" t="s">
        <v>14</v>
      </c>
      <c r="G5" s="19" t="s">
        <v>15</v>
      </c>
      <c r="H5" s="19" t="s">
        <v>16</v>
      </c>
      <c r="I5" s="19" t="s">
        <v>17</v>
      </c>
      <c r="J5" s="19" t="s">
        <v>19</v>
      </c>
      <c r="K5" s="19" t="s">
        <v>21</v>
      </c>
      <c r="L5" s="19" t="s">
        <v>22</v>
      </c>
      <c r="M5" s="19" t="s">
        <v>23</v>
      </c>
      <c r="N5" s="19" t="s">
        <v>24</v>
      </c>
      <c r="O5" s="19" t="s">
        <v>26</v>
      </c>
    </row>
    <row r="6" ht="18.75" customHeight="1">
      <c r="A6" s="24"/>
      <c r="B6" s="26" t="s">
        <v>31</v>
      </c>
      <c r="C6" s="29">
        <v>50.0</v>
      </c>
      <c r="D6" s="29">
        <v>65.0</v>
      </c>
      <c r="E6" s="29">
        <v>82.0</v>
      </c>
      <c r="F6" s="29">
        <v>100.0</v>
      </c>
      <c r="G6" s="29">
        <v>120.0</v>
      </c>
      <c r="H6" s="29">
        <v>145.0</v>
      </c>
      <c r="I6" s="29">
        <v>170.0</v>
      </c>
      <c r="J6" s="29">
        <v>200.0</v>
      </c>
      <c r="K6" s="29">
        <v>230.0</v>
      </c>
      <c r="L6" s="29">
        <v>265.0</v>
      </c>
      <c r="M6" s="29">
        <v>300.0</v>
      </c>
      <c r="N6" s="33">
        <v>340.0</v>
      </c>
      <c r="O6" s="3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B7" s="36" t="s">
        <v>42</v>
      </c>
      <c r="C7" s="40">
        <f>30%*C6</f>
        <v>15</v>
      </c>
      <c r="D7" s="40">
        <f>30%*D6+0.5</f>
        <v>20</v>
      </c>
      <c r="E7" s="40">
        <f>30%*E6+0.4</f>
        <v>25</v>
      </c>
      <c r="F7" s="40">
        <f t="shared" ref="F7:G7" si="1">30%*F6</f>
        <v>30</v>
      </c>
      <c r="G7" s="40">
        <f t="shared" si="1"/>
        <v>36</v>
      </c>
      <c r="H7" s="40">
        <f>30%*H6+0.5</f>
        <v>44</v>
      </c>
      <c r="I7" s="40">
        <f t="shared" ref="I7:K7" si="2">30%*I6</f>
        <v>51</v>
      </c>
      <c r="J7" s="40">
        <f t="shared" si="2"/>
        <v>60</v>
      </c>
      <c r="K7" s="40">
        <f t="shared" si="2"/>
        <v>69</v>
      </c>
      <c r="L7" s="40">
        <f>30%*L6+0.5</f>
        <v>80</v>
      </c>
      <c r="M7" s="40">
        <f t="shared" ref="M7:N7" si="3">30%*M6</f>
        <v>90</v>
      </c>
      <c r="N7" s="40">
        <f t="shared" si="3"/>
        <v>102</v>
      </c>
      <c r="O7" s="43"/>
    </row>
    <row r="8">
      <c r="B8" s="36" t="s">
        <v>54</v>
      </c>
      <c r="C8" s="40">
        <f>50%*C6</f>
        <v>25</v>
      </c>
      <c r="D8" s="40">
        <f>50%*D6-0.5</f>
        <v>32</v>
      </c>
      <c r="E8" s="40">
        <f t="shared" ref="E8:G8" si="4">50%*E6</f>
        <v>41</v>
      </c>
      <c r="F8" s="40">
        <f t="shared" si="4"/>
        <v>50</v>
      </c>
      <c r="G8" s="40">
        <f t="shared" si="4"/>
        <v>60</v>
      </c>
      <c r="H8" s="40">
        <f>50%*H6-0.5</f>
        <v>72</v>
      </c>
      <c r="I8" s="40">
        <f t="shared" ref="I8:K8" si="5">50%*I6</f>
        <v>85</v>
      </c>
      <c r="J8" s="40">
        <f t="shared" si="5"/>
        <v>100</v>
      </c>
      <c r="K8" s="40">
        <f t="shared" si="5"/>
        <v>115</v>
      </c>
      <c r="L8" s="40">
        <f>50%*L6-0.5</f>
        <v>132</v>
      </c>
      <c r="M8" s="40">
        <f t="shared" ref="M8:N8" si="6">50%*M6</f>
        <v>150</v>
      </c>
      <c r="N8" s="40">
        <f t="shared" si="6"/>
        <v>170</v>
      </c>
      <c r="O8" s="43"/>
    </row>
    <row r="9">
      <c r="B9" s="36" t="s">
        <v>68</v>
      </c>
      <c r="C9" s="40">
        <f t="shared" ref="C9:D9" si="7">20%*C6</f>
        <v>10</v>
      </c>
      <c r="D9" s="40">
        <f t="shared" si="7"/>
        <v>13</v>
      </c>
      <c r="E9" s="40">
        <f>20%*E6-0.4</f>
        <v>16</v>
      </c>
      <c r="F9" s="40">
        <f t="shared" ref="F9:N9" si="8">20%*F6</f>
        <v>20</v>
      </c>
      <c r="G9" s="40">
        <f t="shared" si="8"/>
        <v>24</v>
      </c>
      <c r="H9" s="40">
        <f t="shared" si="8"/>
        <v>29</v>
      </c>
      <c r="I9" s="40">
        <f t="shared" si="8"/>
        <v>34</v>
      </c>
      <c r="J9" s="40">
        <f t="shared" si="8"/>
        <v>40</v>
      </c>
      <c r="K9" s="40">
        <f t="shared" si="8"/>
        <v>46</v>
      </c>
      <c r="L9" s="40">
        <f t="shared" si="8"/>
        <v>53</v>
      </c>
      <c r="M9" s="40">
        <f t="shared" si="8"/>
        <v>60</v>
      </c>
      <c r="N9" s="40">
        <f t="shared" si="8"/>
        <v>68</v>
      </c>
      <c r="O9" s="53"/>
    </row>
    <row r="10" ht="21.0" customHeight="1">
      <c r="A10" s="24"/>
      <c r="B10" s="26" t="s">
        <v>75</v>
      </c>
      <c r="C10" s="57">
        <f>(C7*PRICING!$C$5)+(C8*PRICING!$C$6)+(C9*PRICING!$C$7)</f>
        <v>27450000</v>
      </c>
      <c r="D10" s="57">
        <f>(D7*PRICING!$C$5)+(D8*PRICING!$C$6)+(D9*PRICING!$C$7)</f>
        <v>35535000</v>
      </c>
      <c r="E10" s="57">
        <f>(E7*PRICING!$C$5)+(E8*PRICING!$C$6)+(E9*PRICING!$C$7)</f>
        <v>44818000</v>
      </c>
      <c r="F10" s="57">
        <f>(F7*PRICING!$C$5)+(F8*PRICING!$C$6)+(F9*PRICING!$C$7)</f>
        <v>54900000</v>
      </c>
      <c r="G10" s="57">
        <f>(G7*PRICING!$C$5)+(G8*PRICING!$C$6)+(G9*PRICING!$C$7)</f>
        <v>65880000</v>
      </c>
      <c r="H10" s="57">
        <f>(H7*PRICING!$C$5)+(H8*PRICING!$C$6)+(H9*PRICING!$C$7)</f>
        <v>79455000</v>
      </c>
      <c r="I10" s="57">
        <f>(I7*PRICING!$C$5)+(I8*PRICING!$C$6)+(I9*PRICING!$C$7)</f>
        <v>93330000</v>
      </c>
      <c r="J10" s="57">
        <f>(J7*PRICING!$C$5)+(J8*PRICING!$C$6)+(J9*PRICING!$C$7)</f>
        <v>109800000</v>
      </c>
      <c r="K10" s="57">
        <f>(K7*PRICING!$C$5)+(K8*PRICING!$C$6)+(K9*PRICING!$C$7)</f>
        <v>126270000</v>
      </c>
      <c r="L10" s="57">
        <f>(L7*PRICING!$C$5)+(L8*PRICING!$C$6)+(L9*PRICING!$C$7)</f>
        <v>145335000</v>
      </c>
      <c r="M10" s="57">
        <f>(M7*PRICING!$C$5)+(M8*PRICING!$C$6)+(M9*PRICING!$C$7)</f>
        <v>164700000</v>
      </c>
      <c r="N10" s="57">
        <f>(N7*PRICING!$C$5)+(N8*PRICING!$C$6)+(N9*PRICING!$C$7)</f>
        <v>186660000</v>
      </c>
      <c r="O10" s="57">
        <f t="shared" ref="O10:O12" si="9">SUM(C10:N10)</f>
        <v>1134133000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1.0" customHeight="1">
      <c r="A11" s="24"/>
      <c r="B11" s="26" t="s">
        <v>79</v>
      </c>
      <c r="C11" s="57">
        <f>C6*PRICING!$C$21*(PRICING!$C$22/1000)*PRICING!$F$10</f>
        <v>2437500</v>
      </c>
      <c r="D11" s="57">
        <f>D6*PRICING!$C$21*(PRICING!$C$22/1000)*PRICING!$F$10</f>
        <v>3168750</v>
      </c>
      <c r="E11" s="57">
        <f>E6*PRICING!$C$21*(PRICING!$C$22/1000)*PRICING!$F$10</f>
        <v>3997500</v>
      </c>
      <c r="F11" s="57">
        <f>F6*PRICING!$C$21*(PRICING!$C$22/1000)*PRICING!$F$10</f>
        <v>4875000</v>
      </c>
      <c r="G11" s="57">
        <f>G6*PRICING!$C$21*(PRICING!$C$22/1000)*PRICING!$F$10</f>
        <v>5850000</v>
      </c>
      <c r="H11" s="57">
        <f>H6*PRICING!$C$21*(PRICING!$C$22/1000)*PRICING!$F$10</f>
        <v>7068750</v>
      </c>
      <c r="I11" s="57">
        <f>I6*PRICING!$C$21*(PRICING!$C$22/1000)*PRICING!$F$10</f>
        <v>8287500</v>
      </c>
      <c r="J11" s="57">
        <f>J6*PRICING!$C$21*(PRICING!$C$22/1000)*PRICING!$F$10</f>
        <v>9750000</v>
      </c>
      <c r="K11" s="57">
        <f>K6*PRICING!$C$21*(PRICING!$C$22/1000)*PRICING!$F$10</f>
        <v>11212500</v>
      </c>
      <c r="L11" s="57">
        <f>L6*PRICING!$C$21*(PRICING!$C$22/1000)*PRICING!$F$10</f>
        <v>12918750</v>
      </c>
      <c r="M11" s="57">
        <f>M6*PRICING!$C$21*(PRICING!$C$22/1000)*PRICING!$F$10</f>
        <v>14625000</v>
      </c>
      <c r="N11" s="57">
        <f>N6*PRICING!$C$21*(PRICING!$C$22/1000)*PRICING!$F$10</f>
        <v>16575000</v>
      </c>
      <c r="O11" s="57">
        <f t="shared" si="9"/>
        <v>100766250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1.0" customHeight="1">
      <c r="A12" s="24"/>
      <c r="B12" s="65" t="s">
        <v>89</v>
      </c>
      <c r="C12" s="67">
        <f t="shared" ref="C12:N12" si="10">SUM(C10:C11)</f>
        <v>29887500</v>
      </c>
      <c r="D12" s="67">
        <f t="shared" si="10"/>
        <v>38703750</v>
      </c>
      <c r="E12" s="67">
        <f t="shared" si="10"/>
        <v>48815500</v>
      </c>
      <c r="F12" s="67">
        <f t="shared" si="10"/>
        <v>59775000</v>
      </c>
      <c r="G12" s="67">
        <f t="shared" si="10"/>
        <v>71730000</v>
      </c>
      <c r="H12" s="67">
        <f t="shared" si="10"/>
        <v>86523750</v>
      </c>
      <c r="I12" s="67">
        <f t="shared" si="10"/>
        <v>101617500</v>
      </c>
      <c r="J12" s="67">
        <f t="shared" si="10"/>
        <v>119550000</v>
      </c>
      <c r="K12" s="67">
        <f t="shared" si="10"/>
        <v>137482500</v>
      </c>
      <c r="L12" s="67">
        <f t="shared" si="10"/>
        <v>158253750</v>
      </c>
      <c r="M12" s="67">
        <f t="shared" si="10"/>
        <v>179325000</v>
      </c>
      <c r="N12" s="67">
        <f t="shared" si="10"/>
        <v>203235000</v>
      </c>
      <c r="O12" s="69">
        <f t="shared" si="9"/>
        <v>1234899250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B13" s="70"/>
      <c r="C13" s="70"/>
      <c r="D13" s="70"/>
      <c r="E13" s="70"/>
      <c r="F13" s="70"/>
      <c r="G13" s="71"/>
      <c r="H13" s="71"/>
      <c r="I13" s="71"/>
      <c r="K13" s="71"/>
    </row>
    <row r="14">
      <c r="B14" s="72" t="s">
        <v>91</v>
      </c>
      <c r="C14" s="73">
        <f t="shared" ref="C14:N14" si="11">C12/C6</f>
        <v>597750</v>
      </c>
      <c r="D14" s="73">
        <f t="shared" si="11"/>
        <v>595442.3077</v>
      </c>
      <c r="E14" s="73">
        <f t="shared" si="11"/>
        <v>595310.9756</v>
      </c>
      <c r="F14" s="73">
        <f t="shared" si="11"/>
        <v>597750</v>
      </c>
      <c r="G14" s="73">
        <f t="shared" si="11"/>
        <v>597750</v>
      </c>
      <c r="H14" s="73">
        <f t="shared" si="11"/>
        <v>596715.5172</v>
      </c>
      <c r="I14" s="73">
        <f t="shared" si="11"/>
        <v>597750</v>
      </c>
      <c r="J14" s="73">
        <f t="shared" si="11"/>
        <v>597750</v>
      </c>
      <c r="K14" s="73">
        <f t="shared" si="11"/>
        <v>597750</v>
      </c>
      <c r="L14" s="73">
        <f t="shared" si="11"/>
        <v>597183.9623</v>
      </c>
      <c r="M14" s="73">
        <f t="shared" si="11"/>
        <v>597750</v>
      </c>
      <c r="N14" s="73">
        <f t="shared" si="11"/>
        <v>597750</v>
      </c>
    </row>
    <row r="15">
      <c r="B15" s="70"/>
      <c r="C15" s="70"/>
      <c r="D15" s="70"/>
      <c r="E15" s="70"/>
      <c r="F15" s="70"/>
      <c r="G15" s="71"/>
      <c r="H15" s="71"/>
      <c r="I15" s="71"/>
      <c r="K15" s="71"/>
    </row>
    <row r="16">
      <c r="B16" s="10" t="s">
        <v>94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>
      <c r="B17" s="16"/>
      <c r="C17" s="19" t="s">
        <v>10</v>
      </c>
      <c r="D17" s="19" t="s">
        <v>11</v>
      </c>
      <c r="E17" s="19" t="s">
        <v>13</v>
      </c>
      <c r="F17" s="19" t="s">
        <v>14</v>
      </c>
      <c r="G17" s="19" t="s">
        <v>15</v>
      </c>
      <c r="H17" s="19" t="s">
        <v>16</v>
      </c>
      <c r="I17" s="19" t="s">
        <v>17</v>
      </c>
      <c r="J17" s="19" t="s">
        <v>19</v>
      </c>
      <c r="K17" s="19" t="s">
        <v>21</v>
      </c>
      <c r="L17" s="19" t="s">
        <v>22</v>
      </c>
      <c r="M17" s="19" t="s">
        <v>23</v>
      </c>
      <c r="N17" s="19" t="s">
        <v>24</v>
      </c>
      <c r="O17" s="19" t="s">
        <v>26</v>
      </c>
    </row>
    <row r="18" ht="20.25" customHeight="1">
      <c r="B18" s="26" t="s">
        <v>31</v>
      </c>
      <c r="C18" s="29">
        <v>20.0</v>
      </c>
      <c r="D18" s="29">
        <v>25.0</v>
      </c>
      <c r="E18" s="29">
        <v>35.0</v>
      </c>
      <c r="F18" s="29">
        <v>45.0</v>
      </c>
      <c r="G18" s="29">
        <v>50.0</v>
      </c>
      <c r="H18" s="29">
        <v>65.0</v>
      </c>
      <c r="I18" s="29">
        <v>75.0</v>
      </c>
      <c r="J18" s="29">
        <v>80.0</v>
      </c>
      <c r="K18" s="29">
        <v>90.0</v>
      </c>
      <c r="L18" s="29">
        <v>100.0</v>
      </c>
      <c r="M18" s="29">
        <v>110.0</v>
      </c>
      <c r="N18" s="29">
        <v>125.0</v>
      </c>
      <c r="O18" s="34"/>
    </row>
    <row r="19">
      <c r="B19" s="36" t="s">
        <v>42</v>
      </c>
      <c r="C19" s="40">
        <f>30%*C18</f>
        <v>6</v>
      </c>
      <c r="D19" s="40">
        <f>30%*D18+0.5</f>
        <v>8</v>
      </c>
      <c r="E19" s="40">
        <f>30%*E18-0.5</f>
        <v>10</v>
      </c>
      <c r="F19" s="40">
        <f>30%*F18+0.5</f>
        <v>14</v>
      </c>
      <c r="G19" s="40">
        <f>30%*G18</f>
        <v>15</v>
      </c>
      <c r="H19" s="40">
        <f t="shared" ref="H19:I19" si="12">30%*H18+0.5</f>
        <v>20</v>
      </c>
      <c r="I19" s="40">
        <f t="shared" si="12"/>
        <v>23</v>
      </c>
      <c r="J19" s="40">
        <f t="shared" ref="J19:M19" si="13">30%*J18</f>
        <v>24</v>
      </c>
      <c r="K19" s="40">
        <f t="shared" si="13"/>
        <v>27</v>
      </c>
      <c r="L19" s="40">
        <f t="shared" si="13"/>
        <v>30</v>
      </c>
      <c r="M19" s="40">
        <f t="shared" si="13"/>
        <v>33</v>
      </c>
      <c r="N19" s="40">
        <f>30%*N18+0.5</f>
        <v>38</v>
      </c>
      <c r="O19" s="43"/>
    </row>
    <row r="20">
      <c r="B20" s="36" t="s">
        <v>54</v>
      </c>
      <c r="C20" s="40">
        <f>50%*C18</f>
        <v>10</v>
      </c>
      <c r="D20" s="40">
        <f>50%*D18-0.5</f>
        <v>12</v>
      </c>
      <c r="E20" s="40">
        <f>50%*E18+0.5</f>
        <v>18</v>
      </c>
      <c r="F20" s="40">
        <f>50%*F18-0.5</f>
        <v>22</v>
      </c>
      <c r="G20" s="40">
        <f>50%*G18</f>
        <v>25</v>
      </c>
      <c r="H20" s="40">
        <f t="shared" ref="H20:I20" si="14">50%*H18-0.5</f>
        <v>32</v>
      </c>
      <c r="I20" s="40">
        <f t="shared" si="14"/>
        <v>37</v>
      </c>
      <c r="J20" s="40">
        <f t="shared" ref="J20:M20" si="15">50%*J18</f>
        <v>40</v>
      </c>
      <c r="K20" s="40">
        <f t="shared" si="15"/>
        <v>45</v>
      </c>
      <c r="L20" s="40">
        <f t="shared" si="15"/>
        <v>50</v>
      </c>
      <c r="M20" s="40">
        <f t="shared" si="15"/>
        <v>55</v>
      </c>
      <c r="N20" s="40">
        <f>50%*N18-0.5</f>
        <v>62</v>
      </c>
      <c r="O20" s="43"/>
    </row>
    <row r="21">
      <c r="B21" s="36" t="s">
        <v>68</v>
      </c>
      <c r="C21" s="40">
        <f t="shared" ref="C21:N21" si="16">20%*C18</f>
        <v>4</v>
      </c>
      <c r="D21" s="40">
        <f t="shared" si="16"/>
        <v>5</v>
      </c>
      <c r="E21" s="40">
        <f t="shared" si="16"/>
        <v>7</v>
      </c>
      <c r="F21" s="40">
        <f t="shared" si="16"/>
        <v>9</v>
      </c>
      <c r="G21" s="40">
        <f t="shared" si="16"/>
        <v>10</v>
      </c>
      <c r="H21" s="40">
        <f t="shared" si="16"/>
        <v>13</v>
      </c>
      <c r="I21" s="40">
        <f t="shared" si="16"/>
        <v>15</v>
      </c>
      <c r="J21" s="40">
        <f t="shared" si="16"/>
        <v>16</v>
      </c>
      <c r="K21" s="40">
        <f t="shared" si="16"/>
        <v>18</v>
      </c>
      <c r="L21" s="40">
        <f t="shared" si="16"/>
        <v>20</v>
      </c>
      <c r="M21" s="40">
        <f t="shared" si="16"/>
        <v>22</v>
      </c>
      <c r="N21" s="40">
        <f t="shared" si="16"/>
        <v>25</v>
      </c>
      <c r="O21" s="53"/>
    </row>
    <row r="22" ht="19.5" customHeight="1">
      <c r="B22" s="26" t="s">
        <v>75</v>
      </c>
      <c r="C22" s="57">
        <f>(C19*PRICING!$C$5)+(C20*PRICING!$C$6)+(C21*PRICING!$C$7)</f>
        <v>10980000</v>
      </c>
      <c r="D22" s="57">
        <f>(D19*PRICING!$C$5)+(D20*PRICING!$C$6)+(D21*PRICING!$C$7)</f>
        <v>13575000</v>
      </c>
      <c r="E22" s="57">
        <f>(E19*PRICING!$C$5)+(E20*PRICING!$C$6)+(E21*PRICING!$C$7)</f>
        <v>19365000</v>
      </c>
      <c r="F22" s="57">
        <f>(F19*PRICING!$C$5)+(F20*PRICING!$C$6)+(F21*PRICING!$C$7)</f>
        <v>24555000</v>
      </c>
      <c r="G22" s="57">
        <f>(G19*PRICING!$C$5)+(G20*PRICING!$C$6)+(G21*PRICING!$C$7)</f>
        <v>27450000</v>
      </c>
      <c r="H22" s="57">
        <f>(H19*PRICING!$C$5)+(H20*PRICING!$C$6)+(H21*PRICING!$C$7)</f>
        <v>35535000</v>
      </c>
      <c r="I22" s="57">
        <f>(I19*PRICING!$C$5)+(I20*PRICING!$C$6)+(I21*PRICING!$C$7)</f>
        <v>41025000</v>
      </c>
      <c r="J22" s="57">
        <f>(J19*PRICING!$C$5)+(J20*PRICING!$C$6)+(J21*PRICING!$C$7)</f>
        <v>43920000</v>
      </c>
      <c r="K22" s="57">
        <f>(K19*PRICING!$C$5)+(K20*PRICING!$C$6)+(K21*PRICING!$C$7)</f>
        <v>49410000</v>
      </c>
      <c r="L22" s="57">
        <f>(L19*PRICING!$C$5)+(L20*PRICING!$C$6)+(L21*PRICING!$C$7)</f>
        <v>54900000</v>
      </c>
      <c r="M22" s="57">
        <f>(M19*PRICING!$C$5)+(M20*PRICING!$C$6)+(M21*PRICING!$C$7)</f>
        <v>60390000</v>
      </c>
      <c r="N22" s="57">
        <f>(N19*PRICING!$C$5)+(N20*PRICING!$C$6)+(N21*PRICING!$C$7)</f>
        <v>68475000</v>
      </c>
      <c r="O22" s="57">
        <f t="shared" ref="O22:O24" si="17">SUM(C22:N22)</f>
        <v>449580000</v>
      </c>
    </row>
    <row r="23" ht="19.5" customHeight="1">
      <c r="B23" s="26" t="s">
        <v>79</v>
      </c>
      <c r="C23" s="57">
        <f>C18*PRICING!$C$21*(PRICING!$C$22/1000)*PRICING!$F$10</f>
        <v>975000</v>
      </c>
      <c r="D23" s="57">
        <f>D18*PRICING!$C$21*(PRICING!$C$22/1000)*PRICING!$F$10</f>
        <v>1218750</v>
      </c>
      <c r="E23" s="57">
        <f>E18*PRICING!$C$21*(PRICING!$C$22/1000)*PRICING!$F$10</f>
        <v>1706250</v>
      </c>
      <c r="F23" s="57">
        <f>F18*PRICING!$C$21*(PRICING!$C$22/1000)*PRICING!$F$10</f>
        <v>2193750</v>
      </c>
      <c r="G23" s="57">
        <f>G18*PRICING!$C$21*(PRICING!$C$22/1000)*PRICING!$F$10</f>
        <v>2437500</v>
      </c>
      <c r="H23" s="57">
        <f>H18*PRICING!$C$21*(PRICING!$C$22/1000)*PRICING!$F$10</f>
        <v>3168750</v>
      </c>
      <c r="I23" s="57">
        <f>I18*PRICING!$C$21*(PRICING!$C$22/1000)*PRICING!$F$10</f>
        <v>3656250</v>
      </c>
      <c r="J23" s="57">
        <f>J18*PRICING!$C$21*(PRICING!$C$22/1000)*PRICING!$F$10</f>
        <v>3900000</v>
      </c>
      <c r="K23" s="57">
        <f>K18*PRICING!$C$21*(PRICING!$C$22/1000)*PRICING!$F$10</f>
        <v>4387500</v>
      </c>
      <c r="L23" s="57">
        <f>L18*PRICING!$C$21*(PRICING!$C$22/1000)*PRICING!$F$10</f>
        <v>4875000</v>
      </c>
      <c r="M23" s="57">
        <f>M18*PRICING!$C$21*(PRICING!$C$22/1000)*PRICING!$F$10</f>
        <v>5362500</v>
      </c>
      <c r="N23" s="57">
        <f>N18*PRICING!$C$21*(PRICING!$C$22/1000)*PRICING!$F$10</f>
        <v>6093750</v>
      </c>
      <c r="O23" s="57">
        <f t="shared" si="17"/>
        <v>39975000</v>
      </c>
    </row>
    <row r="24" ht="19.5" customHeight="1">
      <c r="B24" s="65" t="s">
        <v>89</v>
      </c>
      <c r="C24" s="67">
        <f t="shared" ref="C24:N24" si="18">SUM(C22:C23)</f>
        <v>11955000</v>
      </c>
      <c r="D24" s="67">
        <f t="shared" si="18"/>
        <v>14793750</v>
      </c>
      <c r="E24" s="67">
        <f t="shared" si="18"/>
        <v>21071250</v>
      </c>
      <c r="F24" s="67">
        <f t="shared" si="18"/>
        <v>26748750</v>
      </c>
      <c r="G24" s="67">
        <f t="shared" si="18"/>
        <v>29887500</v>
      </c>
      <c r="H24" s="67">
        <f t="shared" si="18"/>
        <v>38703750</v>
      </c>
      <c r="I24" s="67">
        <f t="shared" si="18"/>
        <v>44681250</v>
      </c>
      <c r="J24" s="67">
        <f t="shared" si="18"/>
        <v>47820000</v>
      </c>
      <c r="K24" s="67">
        <f t="shared" si="18"/>
        <v>53797500</v>
      </c>
      <c r="L24" s="67">
        <f t="shared" si="18"/>
        <v>59775000</v>
      </c>
      <c r="M24" s="67">
        <f t="shared" si="18"/>
        <v>65752500</v>
      </c>
      <c r="N24" s="67">
        <f t="shared" si="18"/>
        <v>74568750</v>
      </c>
      <c r="O24" s="69">
        <f t="shared" si="17"/>
        <v>489555000</v>
      </c>
    </row>
    <row r="25">
      <c r="B25" s="70"/>
      <c r="C25" s="70"/>
      <c r="D25" s="70"/>
      <c r="E25" s="70"/>
      <c r="F25" s="70"/>
      <c r="G25" s="71"/>
      <c r="H25" s="71"/>
      <c r="I25" s="71"/>
      <c r="K25" s="71"/>
    </row>
    <row r="26">
      <c r="B26" s="72" t="s">
        <v>91</v>
      </c>
      <c r="C26" s="73">
        <f t="shared" ref="C26:N26" si="19">C24/C18</f>
        <v>597750</v>
      </c>
      <c r="D26" s="73">
        <f t="shared" si="19"/>
        <v>591750</v>
      </c>
      <c r="E26" s="73">
        <f t="shared" si="19"/>
        <v>602035.7143</v>
      </c>
      <c r="F26" s="73">
        <f t="shared" si="19"/>
        <v>594416.6667</v>
      </c>
      <c r="G26" s="73">
        <f t="shared" si="19"/>
        <v>597750</v>
      </c>
      <c r="H26" s="73">
        <f t="shared" si="19"/>
        <v>595442.3077</v>
      </c>
      <c r="I26" s="73">
        <f t="shared" si="19"/>
        <v>595750</v>
      </c>
      <c r="J26" s="73">
        <f t="shared" si="19"/>
        <v>597750</v>
      </c>
      <c r="K26" s="73">
        <f t="shared" si="19"/>
        <v>597750</v>
      </c>
      <c r="L26" s="73">
        <f t="shared" si="19"/>
        <v>597750</v>
      </c>
      <c r="M26" s="73">
        <f t="shared" si="19"/>
        <v>597750</v>
      </c>
      <c r="N26" s="73">
        <f t="shared" si="19"/>
        <v>596550</v>
      </c>
    </row>
    <row r="28">
      <c r="B28" s="10" t="s">
        <v>155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</row>
    <row r="29">
      <c r="B29" s="16"/>
      <c r="C29" s="19" t="s">
        <v>10</v>
      </c>
      <c r="D29" s="19" t="s">
        <v>11</v>
      </c>
      <c r="E29" s="19" t="s">
        <v>13</v>
      </c>
      <c r="F29" s="19" t="s">
        <v>14</v>
      </c>
      <c r="G29" s="19" t="s">
        <v>15</v>
      </c>
      <c r="H29" s="19" t="s">
        <v>16</v>
      </c>
      <c r="I29" s="19" t="s">
        <v>17</v>
      </c>
      <c r="J29" s="19" t="s">
        <v>19</v>
      </c>
      <c r="K29" s="19" t="s">
        <v>21</v>
      </c>
      <c r="L29" s="19" t="s">
        <v>22</v>
      </c>
      <c r="M29" s="19" t="s">
        <v>23</v>
      </c>
      <c r="N29" s="19" t="s">
        <v>24</v>
      </c>
      <c r="O29" s="19" t="s">
        <v>26</v>
      </c>
    </row>
    <row r="30">
      <c r="B30" s="26" t="s">
        <v>31</v>
      </c>
      <c r="C30" s="29">
        <v>15.0</v>
      </c>
      <c r="D30" s="29">
        <v>20.0</v>
      </c>
      <c r="E30" s="29">
        <v>25.0</v>
      </c>
      <c r="F30" s="29">
        <v>35.0</v>
      </c>
      <c r="G30" s="29">
        <v>40.0</v>
      </c>
      <c r="H30" s="29">
        <v>45.0</v>
      </c>
      <c r="I30" s="29">
        <v>50.0</v>
      </c>
      <c r="J30" s="29">
        <v>65.0</v>
      </c>
      <c r="K30" s="29">
        <v>70.0</v>
      </c>
      <c r="L30" s="29">
        <v>75.0</v>
      </c>
      <c r="M30" s="29">
        <v>85.0</v>
      </c>
      <c r="N30" s="29">
        <v>100.0</v>
      </c>
      <c r="O30" s="34"/>
    </row>
    <row r="31">
      <c r="B31" s="36" t="s">
        <v>42</v>
      </c>
      <c r="C31" s="40">
        <f>30%*C30+0.5</f>
        <v>5</v>
      </c>
      <c r="D31" s="40">
        <f>30%*D30</f>
        <v>6</v>
      </c>
      <c r="E31" s="40">
        <f>30%*E30-0.5</f>
        <v>7</v>
      </c>
      <c r="F31" s="40">
        <f>30%*F30+0.5</f>
        <v>11</v>
      </c>
      <c r="G31" s="40">
        <f>30%*G30</f>
        <v>12</v>
      </c>
      <c r="H31" s="40">
        <f>30%*H30+0.5</f>
        <v>14</v>
      </c>
      <c r="I31" s="40">
        <f>30%*I30</f>
        <v>15</v>
      </c>
      <c r="J31" s="40">
        <f>30%*J30+0.5</f>
        <v>20</v>
      </c>
      <c r="K31" s="40">
        <f>30%*K30</f>
        <v>21</v>
      </c>
      <c r="L31" s="40">
        <f t="shared" ref="L31:M31" si="20">30%*L30+0.5</f>
        <v>23</v>
      </c>
      <c r="M31" s="40">
        <f t="shared" si="20"/>
        <v>26</v>
      </c>
      <c r="N31" s="40">
        <f>30%*N30</f>
        <v>30</v>
      </c>
      <c r="O31" s="43"/>
    </row>
    <row r="32">
      <c r="B32" s="36" t="s">
        <v>54</v>
      </c>
      <c r="C32" s="40">
        <f>50%*C30-0.5</f>
        <v>7</v>
      </c>
      <c r="D32" s="40">
        <f>50%*D30</f>
        <v>10</v>
      </c>
      <c r="E32" s="40">
        <f>50%*E30+0.5</f>
        <v>13</v>
      </c>
      <c r="F32" s="40">
        <f>50%*F30-0.5</f>
        <v>17</v>
      </c>
      <c r="G32" s="40">
        <f>50%*G30</f>
        <v>20</v>
      </c>
      <c r="H32" s="40">
        <f>50%*H30-0.5</f>
        <v>22</v>
      </c>
      <c r="I32" s="40">
        <f>50%*I30</f>
        <v>25</v>
      </c>
      <c r="J32" s="40">
        <f>50%*J30-0.5</f>
        <v>32</v>
      </c>
      <c r="K32" s="40">
        <f>50%*K30</f>
        <v>35</v>
      </c>
      <c r="L32" s="40">
        <f t="shared" ref="L32:M32" si="21">50%*L30-0.5</f>
        <v>37</v>
      </c>
      <c r="M32" s="40">
        <f t="shared" si="21"/>
        <v>42</v>
      </c>
      <c r="N32" s="40">
        <f>50%*N30</f>
        <v>50</v>
      </c>
      <c r="O32" s="43"/>
    </row>
    <row r="33">
      <c r="B33" s="36" t="s">
        <v>68</v>
      </c>
      <c r="C33" s="40">
        <f t="shared" ref="C33:N33" si="22">20%*C30</f>
        <v>3</v>
      </c>
      <c r="D33" s="40">
        <f t="shared" si="22"/>
        <v>4</v>
      </c>
      <c r="E33" s="40">
        <f t="shared" si="22"/>
        <v>5</v>
      </c>
      <c r="F33" s="40">
        <f t="shared" si="22"/>
        <v>7</v>
      </c>
      <c r="G33" s="40">
        <f t="shared" si="22"/>
        <v>8</v>
      </c>
      <c r="H33" s="40">
        <f t="shared" si="22"/>
        <v>9</v>
      </c>
      <c r="I33" s="40">
        <f t="shared" si="22"/>
        <v>10</v>
      </c>
      <c r="J33" s="40">
        <f t="shared" si="22"/>
        <v>13</v>
      </c>
      <c r="K33" s="40">
        <f t="shared" si="22"/>
        <v>14</v>
      </c>
      <c r="L33" s="40">
        <f t="shared" si="22"/>
        <v>15</v>
      </c>
      <c r="M33" s="40">
        <f t="shared" si="22"/>
        <v>17</v>
      </c>
      <c r="N33" s="40">
        <f t="shared" si="22"/>
        <v>20</v>
      </c>
      <c r="O33" s="53"/>
    </row>
    <row r="34">
      <c r="B34" s="26" t="s">
        <v>75</v>
      </c>
      <c r="C34" s="57">
        <f>(C31*PRICING!$C$5)+(C32*PRICING!$C$6)+(C33*PRICING!$C$7)</f>
        <v>8085000</v>
      </c>
      <c r="D34" s="57">
        <f>(D31*PRICING!$C$5)+(D32*PRICING!$C$6)+(D33*PRICING!$C$7)</f>
        <v>10980000</v>
      </c>
      <c r="E34" s="57">
        <f>(E31*PRICING!$C$5)+(E32*PRICING!$C$6)+(E33*PRICING!$C$7)</f>
        <v>13875000</v>
      </c>
      <c r="F34" s="57">
        <f>(F31*PRICING!$C$5)+(F32*PRICING!$C$6)+(F33*PRICING!$C$7)</f>
        <v>19065000</v>
      </c>
      <c r="G34" s="57">
        <f>(G31*PRICING!$C$5)+(G32*PRICING!$C$6)+(G33*PRICING!$C$7)</f>
        <v>21960000</v>
      </c>
      <c r="H34" s="57">
        <f>(H31*PRICING!$C$5)+(H32*PRICING!$C$6)+(H33*PRICING!$C$7)</f>
        <v>24555000</v>
      </c>
      <c r="I34" s="57">
        <f>(I31*PRICING!$C$5)+(I32*PRICING!$C$6)+(I33*PRICING!$C$7)</f>
        <v>27450000</v>
      </c>
      <c r="J34" s="57">
        <f>(J31*PRICING!$C$5)+(J32*PRICING!$C$6)+(J33*PRICING!$C$7)</f>
        <v>35535000</v>
      </c>
      <c r="K34" s="57">
        <f>(K31*PRICING!$C$5)+(K32*PRICING!$C$6)+(K33*PRICING!$C$7)</f>
        <v>38430000</v>
      </c>
      <c r="L34" s="57">
        <f>(L31*PRICING!$C$5)+(L32*PRICING!$C$6)+(L33*PRICING!$C$7)</f>
        <v>41025000</v>
      </c>
      <c r="M34" s="57">
        <f>(M31*PRICING!$C$5)+(M32*PRICING!$C$6)+(M33*PRICING!$C$7)</f>
        <v>46515000</v>
      </c>
      <c r="N34" s="57">
        <f>(N31*PRICING!$C$5)+(N32*PRICING!$C$6)+(N33*PRICING!$C$7)</f>
        <v>54900000</v>
      </c>
      <c r="O34" s="57">
        <f t="shared" ref="O34:O36" si="23">SUM(C34:N34)</f>
        <v>342375000</v>
      </c>
    </row>
    <row r="35">
      <c r="B35" s="26" t="s">
        <v>79</v>
      </c>
      <c r="C35" s="57">
        <f>C30*PRICING!$C$21*(PRICING!$C$22/1000)*PRICING!$F$10</f>
        <v>731250</v>
      </c>
      <c r="D35" s="57">
        <f>D30*PRICING!$C$21*(PRICING!$C$22/1000)*PRICING!$F$10</f>
        <v>975000</v>
      </c>
      <c r="E35" s="57">
        <f>E30*PRICING!$C$21*(PRICING!$C$22/1000)*PRICING!$F$10</f>
        <v>1218750</v>
      </c>
      <c r="F35" s="57">
        <f>F30*PRICING!$C$21*(PRICING!$C$22/1000)*PRICING!$F$10</f>
        <v>1706250</v>
      </c>
      <c r="G35" s="57">
        <f>G30*PRICING!$C$21*(PRICING!$C$22/1000)*PRICING!$F$10</f>
        <v>1950000</v>
      </c>
      <c r="H35" s="57">
        <f>H30*PRICING!$C$21*(PRICING!$C$22/1000)*PRICING!$F$10</f>
        <v>2193750</v>
      </c>
      <c r="I35" s="57">
        <f>I30*PRICING!$C$21*(PRICING!$C$22/1000)*PRICING!$F$10</f>
        <v>2437500</v>
      </c>
      <c r="J35" s="57">
        <f>J30*PRICING!$C$21*(PRICING!$C$22/1000)*PRICING!$F$10</f>
        <v>3168750</v>
      </c>
      <c r="K35" s="57">
        <f>K30*PRICING!$C$21*(PRICING!$C$22/1000)*PRICING!$F$10</f>
        <v>3412500</v>
      </c>
      <c r="L35" s="57">
        <f>L30*PRICING!$C$21*(PRICING!$C$22/1000)*PRICING!$F$10</f>
        <v>3656250</v>
      </c>
      <c r="M35" s="57">
        <f>M30*PRICING!$C$21*(PRICING!$C$22/1000)*PRICING!$F$10</f>
        <v>4143750</v>
      </c>
      <c r="N35" s="57">
        <f>N30*PRICING!$C$21*(PRICING!$C$22/1000)*PRICING!$F$10</f>
        <v>4875000</v>
      </c>
      <c r="O35" s="57">
        <f t="shared" si="23"/>
        <v>30468750</v>
      </c>
    </row>
    <row r="36">
      <c r="B36" s="65" t="s">
        <v>89</v>
      </c>
      <c r="C36" s="67">
        <f t="shared" ref="C36:N36" si="24">SUM(C34:C35)</f>
        <v>8816250</v>
      </c>
      <c r="D36" s="67">
        <f t="shared" si="24"/>
        <v>11955000</v>
      </c>
      <c r="E36" s="67">
        <f t="shared" si="24"/>
        <v>15093750</v>
      </c>
      <c r="F36" s="67">
        <f t="shared" si="24"/>
        <v>20771250</v>
      </c>
      <c r="G36" s="67">
        <f t="shared" si="24"/>
        <v>23910000</v>
      </c>
      <c r="H36" s="67">
        <f t="shared" si="24"/>
        <v>26748750</v>
      </c>
      <c r="I36" s="67">
        <f t="shared" si="24"/>
        <v>29887500</v>
      </c>
      <c r="J36" s="67">
        <f t="shared" si="24"/>
        <v>38703750</v>
      </c>
      <c r="K36" s="67">
        <f t="shared" si="24"/>
        <v>41842500</v>
      </c>
      <c r="L36" s="67">
        <f t="shared" si="24"/>
        <v>44681250</v>
      </c>
      <c r="M36" s="67">
        <f t="shared" si="24"/>
        <v>50658750</v>
      </c>
      <c r="N36" s="67">
        <f t="shared" si="24"/>
        <v>59775000</v>
      </c>
      <c r="O36" s="69">
        <f t="shared" si="23"/>
        <v>372843750</v>
      </c>
    </row>
    <row r="37">
      <c r="B37" s="70"/>
      <c r="C37" s="70"/>
      <c r="D37" s="70"/>
      <c r="E37" s="70"/>
      <c r="F37" s="70"/>
      <c r="G37" s="71"/>
      <c r="H37" s="71"/>
      <c r="I37" s="71"/>
      <c r="K37" s="71"/>
    </row>
    <row r="38">
      <c r="B38" s="72" t="s">
        <v>91</v>
      </c>
      <c r="C38" s="73">
        <f t="shared" ref="C38:N38" si="25">C36/C30</f>
        <v>587750</v>
      </c>
      <c r="D38" s="73">
        <f t="shared" si="25"/>
        <v>597750</v>
      </c>
      <c r="E38" s="73">
        <f t="shared" si="25"/>
        <v>603750</v>
      </c>
      <c r="F38" s="73">
        <f t="shared" si="25"/>
        <v>593464.2857</v>
      </c>
      <c r="G38" s="73">
        <f t="shared" si="25"/>
        <v>597750</v>
      </c>
      <c r="H38" s="73">
        <f t="shared" si="25"/>
        <v>594416.6667</v>
      </c>
      <c r="I38" s="73">
        <f t="shared" si="25"/>
        <v>597750</v>
      </c>
      <c r="J38" s="73">
        <f t="shared" si="25"/>
        <v>595442.3077</v>
      </c>
      <c r="K38" s="73">
        <f t="shared" si="25"/>
        <v>597750</v>
      </c>
      <c r="L38" s="73">
        <f t="shared" si="25"/>
        <v>595750</v>
      </c>
      <c r="M38" s="73">
        <f t="shared" si="25"/>
        <v>595985.2941</v>
      </c>
      <c r="N38" s="73">
        <f t="shared" si="25"/>
        <v>597750</v>
      </c>
    </row>
    <row r="40">
      <c r="B40" s="148" t="s">
        <v>203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</row>
    <row r="41">
      <c r="B41" s="149" t="s">
        <v>204</v>
      </c>
      <c r="C41" s="19" t="s">
        <v>10</v>
      </c>
      <c r="D41" s="19" t="s">
        <v>11</v>
      </c>
      <c r="E41" s="19" t="s">
        <v>13</v>
      </c>
      <c r="F41" s="19" t="s">
        <v>14</v>
      </c>
      <c r="G41" s="19" t="s">
        <v>15</v>
      </c>
      <c r="H41" s="19" t="s">
        <v>16</v>
      </c>
      <c r="I41" s="19" t="s">
        <v>17</v>
      </c>
      <c r="J41" s="19" t="s">
        <v>19</v>
      </c>
      <c r="K41" s="19" t="s">
        <v>21</v>
      </c>
      <c r="L41" s="19" t="s">
        <v>22</v>
      </c>
      <c r="M41" s="19" t="s">
        <v>23</v>
      </c>
      <c r="N41" s="19" t="s">
        <v>24</v>
      </c>
      <c r="O41" s="19" t="s">
        <v>26</v>
      </c>
    </row>
    <row r="42">
      <c r="B42" s="150" t="s">
        <v>205</v>
      </c>
      <c r="C42" s="152">
        <f>$C$34-((PRICING!$C$5*$C$31)*15%)-((PRICING!$C$6*$C$32)*15%)-((PRICING!$C$7*$C$33)*15%)</f>
        <v>6872250</v>
      </c>
      <c r="D42" s="153"/>
      <c r="E42" s="153"/>
      <c r="F42" s="153"/>
      <c r="G42" s="152"/>
      <c r="H42" s="152"/>
      <c r="I42" s="152"/>
      <c r="J42" s="154"/>
      <c r="K42" s="152"/>
      <c r="L42" s="154"/>
      <c r="M42" s="154"/>
      <c r="N42" s="154"/>
      <c r="O42" s="16"/>
    </row>
    <row r="43">
      <c r="B43" s="150" t="s">
        <v>207</v>
      </c>
      <c r="C43" s="152">
        <f>$C$34-((PRICING!$C$5*$C$31)*12%)-((PRICING!$C$6*$C$32)*12%)-((PRICING!$C$7*$C$33)*12%)</f>
        <v>7114800</v>
      </c>
      <c r="D43" s="153"/>
      <c r="E43" s="153"/>
      <c r="F43" s="153"/>
      <c r="G43" s="152"/>
      <c r="H43" s="152"/>
      <c r="I43" s="152"/>
      <c r="J43" s="154"/>
      <c r="K43" s="152"/>
      <c r="L43" s="154"/>
      <c r="M43" s="154"/>
      <c r="N43" s="154"/>
      <c r="O43" s="16"/>
    </row>
    <row r="44">
      <c r="B44" s="155" t="s">
        <v>208</v>
      </c>
      <c r="C44" s="152">
        <f>$C$34-((PRICING!$C$5*$C$31)*10%)-((PRICING!$C$6*$C$32)*10%)-((PRICING!$C$7*$C$33)*10%)</f>
        <v>7276500</v>
      </c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6"/>
    </row>
    <row r="45">
      <c r="B45" s="91" t="s">
        <v>209</v>
      </c>
      <c r="C45" s="152">
        <f>C34-((PRICING!$C$5*C31)*15%)-((PRICING!$C$6*C32)*12%)-((PRICING!$C$7*C33)*10%)</f>
        <v>7117890</v>
      </c>
      <c r="D45" s="152">
        <f>D34-((PRICING!$C$5*D31)*15%)-((PRICING!$C$6*D32)*12%)-((PRICING!$C$7*D33)*10%)</f>
        <v>9672500</v>
      </c>
      <c r="E45" s="152">
        <f>E34-((PRICING!$C$5*E31)*15%)-((PRICING!$C$6*E32)*12%)-((PRICING!$C$7*E33)*10%)</f>
        <v>12227110</v>
      </c>
      <c r="F45" s="152">
        <f>F34-((PRICING!$C$5*F31)*15%)-((PRICING!$C$6*F32)*12%)-((PRICING!$C$7*F33)*10%)</f>
        <v>16790390</v>
      </c>
      <c r="G45" s="152">
        <f>G34-((PRICING!$C$5*G31)*15%)-((PRICING!$C$6*G32)*12%)-((PRICING!$C$7*G33)*10%)</f>
        <v>19345000</v>
      </c>
      <c r="H45" s="152">
        <f>H34-((PRICING!$C$5*H31)*15%)-((PRICING!$C$6*H32)*12%)-((PRICING!$C$7*H33)*10%)</f>
        <v>21626640</v>
      </c>
      <c r="I45" s="152">
        <f>I34-((PRICING!$C$5*I31)*15%)-((PRICING!$C$6*I32)*12%)-((PRICING!$C$7*I33)*10%)</f>
        <v>24181250</v>
      </c>
      <c r="J45" s="152">
        <f>J34-((PRICING!$C$5*J31)*15%)-((PRICING!$C$6*J32)*12%)-((PRICING!$C$7*J33)*10%)</f>
        <v>31299140</v>
      </c>
      <c r="K45" s="152">
        <f>K34-((PRICING!$C$5*K31)*15%)-((PRICING!$C$6*K32)*12%)-((PRICING!$C$7*K33)*10%)</f>
        <v>33853750</v>
      </c>
      <c r="L45" s="152">
        <f>L34-((PRICING!$C$5*L31)*15%)-((PRICING!$C$6*L32)*12%)-((PRICING!$C$7*L33)*10%)</f>
        <v>36135390</v>
      </c>
      <c r="M45" s="152">
        <f>M34-((PRICING!$C$5*M31)*15%)-((PRICING!$C$6*M32)*12%)-((PRICING!$C$7*M33)*10%)</f>
        <v>40971640</v>
      </c>
      <c r="N45" s="152">
        <f>N34-((PRICING!$C$5*N31)*15%)-((PRICING!$C$6*N32)*12%)-((PRICING!$C$7*N33)*10%)</f>
        <v>48362500</v>
      </c>
      <c r="O45" s="64">
        <f t="shared" ref="O45:O46" si="27">SUM(C45:N45)</f>
        <v>301583200</v>
      </c>
    </row>
    <row r="46">
      <c r="B46" s="158" t="s">
        <v>79</v>
      </c>
      <c r="C46" s="64">
        <f t="shared" ref="C46:N46" si="26">C35</f>
        <v>731250</v>
      </c>
      <c r="D46" s="64">
        <f t="shared" si="26"/>
        <v>975000</v>
      </c>
      <c r="E46" s="64">
        <f t="shared" si="26"/>
        <v>1218750</v>
      </c>
      <c r="F46" s="64">
        <f t="shared" si="26"/>
        <v>1706250</v>
      </c>
      <c r="G46" s="64">
        <f t="shared" si="26"/>
        <v>1950000</v>
      </c>
      <c r="H46" s="64">
        <f t="shared" si="26"/>
        <v>2193750</v>
      </c>
      <c r="I46" s="64">
        <f t="shared" si="26"/>
        <v>2437500</v>
      </c>
      <c r="J46" s="64">
        <f t="shared" si="26"/>
        <v>3168750</v>
      </c>
      <c r="K46" s="64">
        <f t="shared" si="26"/>
        <v>3412500</v>
      </c>
      <c r="L46" s="64">
        <f t="shared" si="26"/>
        <v>3656250</v>
      </c>
      <c r="M46" s="64">
        <f t="shared" si="26"/>
        <v>4143750</v>
      </c>
      <c r="N46" s="64">
        <f t="shared" si="26"/>
        <v>4875000</v>
      </c>
      <c r="O46" s="64">
        <f t="shared" si="27"/>
        <v>30468750</v>
      </c>
    </row>
    <row r="47">
      <c r="B47" s="159" t="s">
        <v>212</v>
      </c>
      <c r="C47" s="64">
        <f t="shared" ref="C47:N47" si="28">C45+C46</f>
        <v>7849140</v>
      </c>
      <c r="D47" s="64">
        <f t="shared" si="28"/>
        <v>10647500</v>
      </c>
      <c r="E47" s="64">
        <f t="shared" si="28"/>
        <v>13445860</v>
      </c>
      <c r="F47" s="64">
        <f t="shared" si="28"/>
        <v>18496640</v>
      </c>
      <c r="G47" s="64">
        <f t="shared" si="28"/>
        <v>21295000</v>
      </c>
      <c r="H47" s="64">
        <f t="shared" si="28"/>
        <v>23820390</v>
      </c>
      <c r="I47" s="64">
        <f t="shared" si="28"/>
        <v>26618750</v>
      </c>
      <c r="J47" s="64">
        <f t="shared" si="28"/>
        <v>34467890</v>
      </c>
      <c r="K47" s="64">
        <f t="shared" si="28"/>
        <v>37266250</v>
      </c>
      <c r="L47" s="64">
        <f t="shared" si="28"/>
        <v>39791640</v>
      </c>
      <c r="M47" s="64">
        <f t="shared" si="28"/>
        <v>45115390</v>
      </c>
      <c r="N47" s="64">
        <f t="shared" si="28"/>
        <v>53237500</v>
      </c>
      <c r="O47" s="160">
        <f>SUM(O45:O46)</f>
        <v>332051950</v>
      </c>
    </row>
    <row r="49">
      <c r="B49" s="161" t="s">
        <v>214</v>
      </c>
      <c r="C49" s="163">
        <f>C34-C45</f>
        <v>967110</v>
      </c>
    </row>
    <row r="50">
      <c r="B50" s="53"/>
      <c r="C50" s="164">
        <f>C49/C34</f>
        <v>0.1196178108</v>
      </c>
    </row>
    <row r="52">
      <c r="B52" s="165" t="s">
        <v>215</v>
      </c>
      <c r="C52" s="13"/>
    </row>
    <row r="53">
      <c r="B53" s="36" t="s">
        <v>216</v>
      </c>
      <c r="C53" s="91" t="s">
        <v>91</v>
      </c>
    </row>
    <row r="54">
      <c r="B54" s="36" t="s">
        <v>217</v>
      </c>
      <c r="C54" s="91" t="s">
        <v>218</v>
      </c>
      <c r="N54" s="166"/>
    </row>
    <row r="55">
      <c r="B55" s="36" t="s">
        <v>219</v>
      </c>
      <c r="C55" s="91" t="s">
        <v>220</v>
      </c>
    </row>
    <row r="56">
      <c r="B56" s="36" t="s">
        <v>221</v>
      </c>
      <c r="C56" s="91" t="s">
        <v>222</v>
      </c>
    </row>
  </sheetData>
  <mergeCells count="10">
    <mergeCell ref="B40:O40"/>
    <mergeCell ref="B49:B50"/>
    <mergeCell ref="B52:C52"/>
    <mergeCell ref="B2:O2"/>
    <mergeCell ref="B4:O4"/>
    <mergeCell ref="O6:O9"/>
    <mergeCell ref="B16:O16"/>
    <mergeCell ref="O18:O21"/>
    <mergeCell ref="B28:O28"/>
    <mergeCell ref="O30:O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25"/>
    <col customWidth="1" min="7" max="7" width="16.0"/>
    <col customWidth="1" min="18" max="18" width="14.88"/>
  </cols>
  <sheetData>
    <row r="2">
      <c r="B2" s="3" t="s">
        <v>3</v>
      </c>
    </row>
    <row r="4">
      <c r="B4" s="5" t="s">
        <v>4</v>
      </c>
      <c r="C4" s="7" t="s">
        <v>7</v>
      </c>
      <c r="D4" s="7" t="s">
        <v>8</v>
      </c>
      <c r="E4" s="7" t="s">
        <v>9</v>
      </c>
      <c r="F4" s="5" t="s">
        <v>10</v>
      </c>
      <c r="G4" s="5" t="s">
        <v>11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19</v>
      </c>
      <c r="N4" s="5" t="s">
        <v>21</v>
      </c>
      <c r="O4" s="5" t="s">
        <v>22</v>
      </c>
      <c r="P4" s="5" t="s">
        <v>23</v>
      </c>
      <c r="Q4" s="5" t="s">
        <v>24</v>
      </c>
      <c r="R4" s="5" t="s">
        <v>26</v>
      </c>
    </row>
    <row r="5" ht="21.0" customHeight="1">
      <c r="B5" s="20" t="s">
        <v>27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ht="18.75" customHeight="1">
      <c r="A6" s="24"/>
      <c r="B6" s="28" t="s">
        <v>39</v>
      </c>
      <c r="C6" s="31">
        <v>1.5E7</v>
      </c>
      <c r="D6" s="31">
        <v>1.5E7</v>
      </c>
      <c r="E6" s="31">
        <v>1.5E7</v>
      </c>
      <c r="F6" s="32">
        <v>0.0</v>
      </c>
      <c r="G6" s="32">
        <v>0.0</v>
      </c>
      <c r="H6" s="32">
        <v>0.0</v>
      </c>
      <c r="I6" s="32">
        <v>0.0</v>
      </c>
      <c r="J6" s="32">
        <v>0.0</v>
      </c>
      <c r="K6" s="32">
        <v>0.0</v>
      </c>
      <c r="L6" s="32">
        <v>0.0</v>
      </c>
      <c r="M6" s="32">
        <v>0.0</v>
      </c>
      <c r="N6" s="32">
        <v>0.0</v>
      </c>
      <c r="O6" s="32">
        <v>0.0</v>
      </c>
      <c r="P6" s="32">
        <v>0.0</v>
      </c>
      <c r="Q6" s="32">
        <v>0.0</v>
      </c>
      <c r="R6" s="38">
        <f t="shared" ref="R6:R16" si="1">SUM(C6:Q6)</f>
        <v>45000000</v>
      </c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ht="18.75" customHeight="1">
      <c r="A7" s="24"/>
      <c r="B7" s="42" t="s">
        <v>44</v>
      </c>
      <c r="C7" s="31">
        <v>0.0</v>
      </c>
      <c r="D7" s="31">
        <v>0.0</v>
      </c>
      <c r="E7" s="31">
        <v>0.0</v>
      </c>
      <c r="F7" s="32">
        <v>250000.0</v>
      </c>
      <c r="G7" s="32">
        <v>250000.0</v>
      </c>
      <c r="H7" s="32">
        <v>250000.0</v>
      </c>
      <c r="I7" s="32">
        <v>250000.0</v>
      </c>
      <c r="J7" s="32">
        <v>250000.0</v>
      </c>
      <c r="K7" s="32">
        <v>250000.0</v>
      </c>
      <c r="L7" s="32">
        <v>250000.0</v>
      </c>
      <c r="M7" s="32">
        <v>250000.0</v>
      </c>
      <c r="N7" s="32">
        <v>250000.0</v>
      </c>
      <c r="O7" s="32">
        <v>250000.0</v>
      </c>
      <c r="P7" s="32">
        <v>250000.0</v>
      </c>
      <c r="Q7" s="32">
        <v>250000.0</v>
      </c>
      <c r="R7" s="38">
        <f t="shared" si="1"/>
        <v>3000000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ht="18.75" customHeight="1">
      <c r="A8" s="24"/>
      <c r="B8" s="42" t="s">
        <v>46</v>
      </c>
      <c r="C8" s="31">
        <v>0.0</v>
      </c>
      <c r="D8" s="31">
        <v>0.0</v>
      </c>
      <c r="E8" s="31">
        <v>0.0</v>
      </c>
      <c r="F8" s="32">
        <v>200000.0</v>
      </c>
      <c r="G8" s="32">
        <v>200000.0</v>
      </c>
      <c r="H8" s="32">
        <v>200000.0</v>
      </c>
      <c r="I8" s="32">
        <v>200000.0</v>
      </c>
      <c r="J8" s="32">
        <v>200000.0</v>
      </c>
      <c r="K8" s="32">
        <v>200000.0</v>
      </c>
      <c r="L8" s="32">
        <v>200000.0</v>
      </c>
      <c r="M8" s="32">
        <v>200000.0</v>
      </c>
      <c r="N8" s="32">
        <v>200000.0</v>
      </c>
      <c r="O8" s="32">
        <v>200000.0</v>
      </c>
      <c r="P8" s="32">
        <v>200000.0</v>
      </c>
      <c r="Q8" s="32">
        <v>200000.0</v>
      </c>
      <c r="R8" s="38">
        <f t="shared" si="1"/>
        <v>2400000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ht="18.75" customHeight="1">
      <c r="A9" s="24"/>
      <c r="B9" s="42" t="s">
        <v>48</v>
      </c>
      <c r="C9" s="31">
        <v>0.0</v>
      </c>
      <c r="D9" s="31">
        <v>0.0</v>
      </c>
      <c r="E9" s="31">
        <v>0.0</v>
      </c>
      <c r="F9" s="32">
        <v>500000.0</v>
      </c>
      <c r="G9" s="32">
        <v>0.0</v>
      </c>
      <c r="H9" s="32">
        <v>0.0</v>
      </c>
      <c r="I9" s="32">
        <v>0.0</v>
      </c>
      <c r="J9" s="32">
        <v>0.0</v>
      </c>
      <c r="K9" s="32">
        <v>0.0</v>
      </c>
      <c r="L9" s="32">
        <v>0.0</v>
      </c>
      <c r="M9" s="32">
        <v>0.0</v>
      </c>
      <c r="N9" s="32">
        <v>0.0</v>
      </c>
      <c r="O9" s="32">
        <v>0.0</v>
      </c>
      <c r="P9" s="32">
        <v>0.0</v>
      </c>
      <c r="Q9" s="32">
        <v>0.0</v>
      </c>
      <c r="R9" s="38">
        <f t="shared" si="1"/>
        <v>500000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18.75" customHeight="1">
      <c r="A10" s="24"/>
      <c r="B10" s="42" t="s">
        <v>49</v>
      </c>
      <c r="C10" s="31">
        <v>0.0</v>
      </c>
      <c r="D10" s="31">
        <v>0.0</v>
      </c>
      <c r="E10" s="31">
        <v>0.0</v>
      </c>
      <c r="F10" s="32">
        <v>1800000.0</v>
      </c>
      <c r="G10" s="32">
        <v>0.0</v>
      </c>
      <c r="H10" s="32">
        <v>0.0</v>
      </c>
      <c r="I10" s="32">
        <v>0.0</v>
      </c>
      <c r="J10" s="32">
        <v>0.0</v>
      </c>
      <c r="K10" s="32">
        <v>0.0</v>
      </c>
      <c r="L10" s="32">
        <v>0.0</v>
      </c>
      <c r="M10" s="32">
        <v>0.0</v>
      </c>
      <c r="N10" s="32">
        <v>0.0</v>
      </c>
      <c r="O10" s="32">
        <v>0.0</v>
      </c>
      <c r="P10" s="32">
        <v>0.0</v>
      </c>
      <c r="Q10" s="32">
        <v>0.0</v>
      </c>
      <c r="R10" s="38">
        <f t="shared" si="1"/>
        <v>1800000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8.75" customHeight="1">
      <c r="A11" s="24"/>
      <c r="B11" s="28" t="s">
        <v>51</v>
      </c>
      <c r="C11" s="46">
        <f t="shared" ref="C11:Q11" si="2">5000000*4</f>
        <v>20000000</v>
      </c>
      <c r="D11" s="46">
        <f t="shared" si="2"/>
        <v>20000000</v>
      </c>
      <c r="E11" s="46">
        <f t="shared" si="2"/>
        <v>20000000</v>
      </c>
      <c r="F11" s="38">
        <f t="shared" si="2"/>
        <v>20000000</v>
      </c>
      <c r="G11" s="38">
        <f t="shared" si="2"/>
        <v>20000000</v>
      </c>
      <c r="H11" s="38">
        <f t="shared" si="2"/>
        <v>20000000</v>
      </c>
      <c r="I11" s="38">
        <f t="shared" si="2"/>
        <v>20000000</v>
      </c>
      <c r="J11" s="38">
        <f t="shared" si="2"/>
        <v>20000000</v>
      </c>
      <c r="K11" s="38">
        <f t="shared" si="2"/>
        <v>20000000</v>
      </c>
      <c r="L11" s="38">
        <f t="shared" si="2"/>
        <v>20000000</v>
      </c>
      <c r="M11" s="38">
        <f t="shared" si="2"/>
        <v>20000000</v>
      </c>
      <c r="N11" s="38">
        <f t="shared" si="2"/>
        <v>20000000</v>
      </c>
      <c r="O11" s="38">
        <f t="shared" si="2"/>
        <v>20000000</v>
      </c>
      <c r="P11" s="38">
        <f t="shared" si="2"/>
        <v>20000000</v>
      </c>
      <c r="Q11" s="38">
        <f t="shared" si="2"/>
        <v>20000000</v>
      </c>
      <c r="R11" s="38">
        <f t="shared" si="1"/>
        <v>300000000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18.75" customHeight="1">
      <c r="A12" s="24"/>
      <c r="B12" s="28" t="s">
        <v>59</v>
      </c>
      <c r="C12" s="31">
        <v>1.0E7</v>
      </c>
      <c r="D12" s="31">
        <v>1.0E7</v>
      </c>
      <c r="E12" s="31">
        <v>1.0E7</v>
      </c>
      <c r="F12" s="38">
        <f t="shared" ref="F12:Q12" si="3">5000000*2</f>
        <v>10000000</v>
      </c>
      <c r="G12" s="38">
        <f t="shared" si="3"/>
        <v>10000000</v>
      </c>
      <c r="H12" s="38">
        <f t="shared" si="3"/>
        <v>10000000</v>
      </c>
      <c r="I12" s="38">
        <f t="shared" si="3"/>
        <v>10000000</v>
      </c>
      <c r="J12" s="38">
        <f t="shared" si="3"/>
        <v>10000000</v>
      </c>
      <c r="K12" s="38">
        <f t="shared" si="3"/>
        <v>10000000</v>
      </c>
      <c r="L12" s="38">
        <f t="shared" si="3"/>
        <v>10000000</v>
      </c>
      <c r="M12" s="38">
        <f t="shared" si="3"/>
        <v>10000000</v>
      </c>
      <c r="N12" s="38">
        <f t="shared" si="3"/>
        <v>10000000</v>
      </c>
      <c r="O12" s="38">
        <f t="shared" si="3"/>
        <v>10000000</v>
      </c>
      <c r="P12" s="38">
        <f t="shared" si="3"/>
        <v>10000000</v>
      </c>
      <c r="Q12" s="38">
        <f t="shared" si="3"/>
        <v>10000000</v>
      </c>
      <c r="R12" s="38">
        <f t="shared" si="1"/>
        <v>150000000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18.75" customHeight="1">
      <c r="A13" s="24"/>
      <c r="B13" s="42" t="s">
        <v>71</v>
      </c>
      <c r="C13" s="31">
        <v>3000000.0</v>
      </c>
      <c r="D13" s="31">
        <v>0.0</v>
      </c>
      <c r="E13" s="31">
        <v>0.0</v>
      </c>
      <c r="F13" s="32">
        <v>0.0</v>
      </c>
      <c r="G13" s="32">
        <v>0.0</v>
      </c>
      <c r="H13" s="32">
        <v>0.0</v>
      </c>
      <c r="I13" s="32">
        <v>0.0</v>
      </c>
      <c r="J13" s="32">
        <v>0.0</v>
      </c>
      <c r="K13" s="32">
        <v>0.0</v>
      </c>
      <c r="L13" s="32">
        <v>0.0</v>
      </c>
      <c r="M13" s="32">
        <v>0.0</v>
      </c>
      <c r="N13" s="32">
        <v>0.0</v>
      </c>
      <c r="O13" s="32">
        <v>0.0</v>
      </c>
      <c r="P13" s="32">
        <v>0.0</v>
      </c>
      <c r="Q13" s="32">
        <v>0.0</v>
      </c>
      <c r="R13" s="38">
        <f t="shared" si="1"/>
        <v>3000000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18.75" customHeight="1">
      <c r="A14" s="24"/>
      <c r="B14" s="42" t="s">
        <v>72</v>
      </c>
      <c r="C14" s="31">
        <v>0.0</v>
      </c>
      <c r="D14" s="31">
        <v>0.0</v>
      </c>
      <c r="E14" s="31">
        <v>3000000.0</v>
      </c>
      <c r="F14" s="32">
        <v>0.0</v>
      </c>
      <c r="G14" s="32">
        <v>0.0</v>
      </c>
      <c r="H14" s="32">
        <v>0.0</v>
      </c>
      <c r="I14" s="32">
        <v>0.0</v>
      </c>
      <c r="J14" s="32">
        <v>0.0</v>
      </c>
      <c r="K14" s="32">
        <v>0.0</v>
      </c>
      <c r="L14" s="32">
        <v>0.0</v>
      </c>
      <c r="M14" s="32">
        <v>0.0</v>
      </c>
      <c r="N14" s="32">
        <v>0.0</v>
      </c>
      <c r="O14" s="32">
        <v>0.0</v>
      </c>
      <c r="P14" s="32">
        <v>0.0</v>
      </c>
      <c r="Q14" s="32">
        <v>0.0</v>
      </c>
      <c r="R14" s="38">
        <f t="shared" si="1"/>
        <v>3000000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18.75" customHeight="1">
      <c r="A15" s="24"/>
      <c r="B15" s="28" t="s">
        <v>73</v>
      </c>
      <c r="C15" s="31">
        <v>1.0E7</v>
      </c>
      <c r="D15" s="31">
        <v>0.0</v>
      </c>
      <c r="E15" s="31">
        <v>0.0</v>
      </c>
      <c r="F15" s="32">
        <v>0.0</v>
      </c>
      <c r="G15" s="32">
        <v>0.0</v>
      </c>
      <c r="H15" s="32">
        <v>0.0</v>
      </c>
      <c r="I15" s="32">
        <v>0.0</v>
      </c>
      <c r="J15" s="32">
        <v>0.0</v>
      </c>
      <c r="K15" s="32">
        <v>0.0</v>
      </c>
      <c r="L15" s="32">
        <v>0.0</v>
      </c>
      <c r="M15" s="32">
        <v>0.0</v>
      </c>
      <c r="N15" s="32">
        <v>0.0</v>
      </c>
      <c r="O15" s="32">
        <v>0.0</v>
      </c>
      <c r="P15" s="32">
        <v>0.0</v>
      </c>
      <c r="Q15" s="32">
        <v>0.0</v>
      </c>
      <c r="R15" s="38">
        <f t="shared" si="1"/>
        <v>10000000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18.75" customHeight="1">
      <c r="A16" s="24"/>
      <c r="B16" s="42" t="s">
        <v>74</v>
      </c>
      <c r="C16" s="31">
        <v>0.0</v>
      </c>
      <c r="D16" s="31">
        <v>0.0</v>
      </c>
      <c r="E16" s="31">
        <v>1700000.0</v>
      </c>
      <c r="F16" s="32">
        <v>2000000.0</v>
      </c>
      <c r="G16" s="32">
        <v>2000000.0</v>
      </c>
      <c r="H16" s="32">
        <v>2000000.0</v>
      </c>
      <c r="I16" s="32">
        <v>2000000.0</v>
      </c>
      <c r="J16" s="32">
        <v>2000000.0</v>
      </c>
      <c r="K16" s="32">
        <v>2000000.0</v>
      </c>
      <c r="L16" s="32">
        <v>2000000.0</v>
      </c>
      <c r="M16" s="32">
        <v>2000000.0</v>
      </c>
      <c r="N16" s="32">
        <v>2000000.0</v>
      </c>
      <c r="O16" s="32">
        <v>2000000.0</v>
      </c>
      <c r="P16" s="32">
        <v>2000000.0</v>
      </c>
      <c r="Q16" s="54">
        <v>2000000.0</v>
      </c>
      <c r="R16" s="38">
        <f t="shared" si="1"/>
        <v>25700000</v>
      </c>
      <c r="S16" s="55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23.25" customHeight="1">
      <c r="A17" s="24"/>
      <c r="B17" s="56" t="s">
        <v>76</v>
      </c>
      <c r="C17" s="58">
        <f t="shared" ref="C17:E17" si="4">SUM(C5:C16)</f>
        <v>58000000</v>
      </c>
      <c r="D17" s="58">
        <f t="shared" si="4"/>
        <v>45000000</v>
      </c>
      <c r="E17" s="58">
        <f t="shared" si="4"/>
        <v>49700000</v>
      </c>
      <c r="F17" s="59">
        <f t="shared" ref="F17:R17" si="5">SUM(F6:F16)</f>
        <v>34750000</v>
      </c>
      <c r="G17" s="59">
        <f t="shared" si="5"/>
        <v>32450000</v>
      </c>
      <c r="H17" s="59">
        <f t="shared" si="5"/>
        <v>32450000</v>
      </c>
      <c r="I17" s="59">
        <f t="shared" si="5"/>
        <v>32450000</v>
      </c>
      <c r="J17" s="59">
        <f t="shared" si="5"/>
        <v>32450000</v>
      </c>
      <c r="K17" s="59">
        <f t="shared" si="5"/>
        <v>32450000</v>
      </c>
      <c r="L17" s="59">
        <f t="shared" si="5"/>
        <v>32450000</v>
      </c>
      <c r="M17" s="59">
        <f t="shared" si="5"/>
        <v>32450000</v>
      </c>
      <c r="N17" s="59">
        <f t="shared" si="5"/>
        <v>32450000</v>
      </c>
      <c r="O17" s="59">
        <f t="shared" si="5"/>
        <v>32450000</v>
      </c>
      <c r="P17" s="59">
        <f t="shared" si="5"/>
        <v>32450000</v>
      </c>
      <c r="Q17" s="59">
        <f t="shared" si="5"/>
        <v>32450000</v>
      </c>
      <c r="R17" s="60">
        <f t="shared" si="5"/>
        <v>544400000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21.0" customHeight="1">
      <c r="B18" s="61" t="s">
        <v>77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3"/>
    </row>
    <row r="19" ht="20.25" customHeight="1">
      <c r="A19" s="24"/>
      <c r="B19" s="28" t="s">
        <v>78</v>
      </c>
      <c r="C19" s="31">
        <v>0.0</v>
      </c>
      <c r="D19" s="31">
        <v>0.0</v>
      </c>
      <c r="E19" s="31">
        <v>0.0</v>
      </c>
      <c r="F19" s="38">
        <f>PRICING!C19*'GROWTH PROJECTION'!C6</f>
        <v>10000000</v>
      </c>
      <c r="G19" s="38">
        <f>PRICING!C19*('GROWTH PROJECTION'!C7-'GROWTH PROJECTION'!C6)</f>
        <v>3000000</v>
      </c>
      <c r="H19" s="38">
        <f>PRICING!C19*('GROWTH PROJECTION'!C8-'GROWTH PROJECTION'!C7)</f>
        <v>3400000</v>
      </c>
      <c r="I19" s="38">
        <f>PRICING!C19*('GROWTH PROJECTION'!C9-'GROWTH PROJECTION'!C8)</f>
        <v>3600000</v>
      </c>
      <c r="J19" s="38">
        <f>PRICING!C19*('GROWTH PROJECTION'!C10-'GROWTH PROJECTION'!C9)</f>
        <v>4000000</v>
      </c>
      <c r="K19" s="38">
        <f>PRICING!C19*('GROWTH PROJECTION'!C11-'GROWTH PROJECTION'!C10)</f>
        <v>5000000</v>
      </c>
      <c r="L19" s="38">
        <f>PRICING!C19*('GROWTH PROJECTION'!C12-'GROWTH PROJECTION'!C11)</f>
        <v>5000000</v>
      </c>
      <c r="M19" s="38">
        <f>PRICING!C19*('GROWTH PROJECTION'!C13-'GROWTH PROJECTION'!C12)</f>
        <v>6000000</v>
      </c>
      <c r="N19" s="38">
        <f>PRICING!C$19*('GROWTH PROJECTION'!C14-'GROWTH PROJECTION'!C13)</f>
        <v>6000000</v>
      </c>
      <c r="O19" s="38">
        <f>PRICING!C$19*('GROWTH PROJECTION'!C15-'GROWTH PROJECTION'!C14)</f>
        <v>7000000</v>
      </c>
      <c r="P19" s="38">
        <f>PRICING!$C19*('GROWTH PROJECTION'!C16-'GROWTH PROJECTION'!C15)</f>
        <v>7000000</v>
      </c>
      <c r="Q19" s="38">
        <f>PRICING!$C19*('GROWTH PROJECTION'!C17-'GROWTH PROJECTION'!C16)</f>
        <v>8000000</v>
      </c>
      <c r="R19" s="38">
        <f t="shared" ref="R19:R20" si="6">SUM(F19:Q19)</f>
        <v>68000000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ht="20.25" customHeight="1">
      <c r="A20" s="24"/>
      <c r="B20" s="28" t="s">
        <v>80</v>
      </c>
      <c r="C20" s="31">
        <v>0.0</v>
      </c>
      <c r="D20" s="31">
        <v>0.0</v>
      </c>
      <c r="E20" s="31">
        <v>0.0</v>
      </c>
      <c r="F20" s="32">
        <v>2250000.0</v>
      </c>
      <c r="G20" s="32">
        <v>2250000.0</v>
      </c>
      <c r="H20" s="32">
        <v>2250000.0</v>
      </c>
      <c r="I20" s="32">
        <v>2250000.0</v>
      </c>
      <c r="J20" s="32">
        <v>2250000.0</v>
      </c>
      <c r="K20" s="32">
        <v>2250000.0</v>
      </c>
      <c r="L20" s="32">
        <v>2250000.0</v>
      </c>
      <c r="M20" s="32">
        <v>2250000.0</v>
      </c>
      <c r="N20" s="32">
        <v>2250000.0</v>
      </c>
      <c r="O20" s="32">
        <v>2250000.0</v>
      </c>
      <c r="P20" s="32">
        <v>2250000.0</v>
      </c>
      <c r="Q20" s="32">
        <v>2250000.0</v>
      </c>
      <c r="R20" s="38">
        <f t="shared" si="6"/>
        <v>27000000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ht="20.25" customHeight="1">
      <c r="A21" s="24"/>
      <c r="B21" s="28" t="s">
        <v>81</v>
      </c>
      <c r="C21" s="31">
        <v>0.0</v>
      </c>
      <c r="D21" s="31">
        <v>0.0</v>
      </c>
      <c r="E21" s="31">
        <v>0.0</v>
      </c>
      <c r="F21" s="32">
        <v>4166667.0</v>
      </c>
      <c r="G21" s="32">
        <v>4166667.0</v>
      </c>
      <c r="H21" s="32">
        <v>4166667.0</v>
      </c>
      <c r="I21" s="32">
        <v>4166667.0</v>
      </c>
      <c r="J21" s="32">
        <v>4166667.0</v>
      </c>
      <c r="K21" s="32">
        <v>4166667.0</v>
      </c>
      <c r="L21" s="32">
        <v>4166667.0</v>
      </c>
      <c r="M21" s="32">
        <v>4166667.0</v>
      </c>
      <c r="N21" s="32">
        <v>4166667.0</v>
      </c>
      <c r="O21" s="32">
        <v>4166667.0</v>
      </c>
      <c r="P21" s="32">
        <v>4166667.0</v>
      </c>
      <c r="Q21" s="32">
        <v>4166667.0</v>
      </c>
      <c r="R21" s="38">
        <f>SUM(F21:Q21)-4</f>
        <v>50000000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ht="20.25" customHeight="1">
      <c r="A22" s="24"/>
      <c r="B22" s="28" t="s">
        <v>83</v>
      </c>
      <c r="C22" s="31">
        <v>0.0</v>
      </c>
      <c r="D22" s="31">
        <v>0.0</v>
      </c>
      <c r="E22" s="31">
        <v>0.0</v>
      </c>
      <c r="F22" s="32">
        <v>500000.0</v>
      </c>
      <c r="G22" s="32">
        <v>500000.0</v>
      </c>
      <c r="H22" s="32">
        <v>500000.0</v>
      </c>
      <c r="I22" s="32">
        <v>500000.0</v>
      </c>
      <c r="J22" s="32">
        <v>500000.0</v>
      </c>
      <c r="K22" s="32">
        <v>500000.0</v>
      </c>
      <c r="L22" s="32">
        <v>500000.0</v>
      </c>
      <c r="M22" s="32">
        <v>500000.0</v>
      </c>
      <c r="N22" s="32">
        <v>500000.0</v>
      </c>
      <c r="O22" s="32">
        <v>500000.0</v>
      </c>
      <c r="P22" s="32">
        <v>500000.0</v>
      </c>
      <c r="Q22" s="32">
        <v>500000.0</v>
      </c>
      <c r="R22" s="38">
        <f>SUM(F22:Q22)</f>
        <v>6000000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ht="20.25" customHeight="1">
      <c r="A23" s="24"/>
      <c r="B23" s="42" t="s">
        <v>85</v>
      </c>
      <c r="C23" s="31">
        <v>0.0</v>
      </c>
      <c r="D23" s="31">
        <v>0.0</v>
      </c>
      <c r="E23" s="31">
        <v>0.0</v>
      </c>
      <c r="F23" s="32">
        <v>333333.0</v>
      </c>
      <c r="G23" s="32">
        <v>333333.0</v>
      </c>
      <c r="H23" s="32">
        <v>333333.0</v>
      </c>
      <c r="I23" s="32">
        <v>333333.0</v>
      </c>
      <c r="J23" s="32">
        <v>333333.0</v>
      </c>
      <c r="K23" s="32">
        <v>333333.0</v>
      </c>
      <c r="L23" s="32">
        <v>333333.0</v>
      </c>
      <c r="M23" s="32">
        <v>333333.0</v>
      </c>
      <c r="N23" s="32">
        <v>333333.0</v>
      </c>
      <c r="O23" s="32">
        <v>333333.0</v>
      </c>
      <c r="P23" s="32">
        <v>333333.0</v>
      </c>
      <c r="Q23" s="32">
        <v>333333.0</v>
      </c>
      <c r="R23" s="38">
        <f>SUM(F23:Q23)+4</f>
        <v>4000000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ht="20.25" customHeight="1">
      <c r="A24" s="24"/>
      <c r="B24" s="42" t="s">
        <v>86</v>
      </c>
      <c r="C24" s="31">
        <v>0.0</v>
      </c>
      <c r="D24" s="31">
        <v>0.0</v>
      </c>
      <c r="E24" s="31">
        <v>0.0</v>
      </c>
      <c r="F24" s="32">
        <v>50000.0</v>
      </c>
      <c r="G24" s="32">
        <v>50000.0</v>
      </c>
      <c r="H24" s="32">
        <v>50000.0</v>
      </c>
      <c r="I24" s="32">
        <v>50000.0</v>
      </c>
      <c r="J24" s="32">
        <v>50000.0</v>
      </c>
      <c r="K24" s="32">
        <v>50000.0</v>
      </c>
      <c r="L24" s="32">
        <v>50000.0</v>
      </c>
      <c r="M24" s="32">
        <v>50000.0</v>
      </c>
      <c r="N24" s="32">
        <v>50000.0</v>
      </c>
      <c r="O24" s="32">
        <v>50000.0</v>
      </c>
      <c r="P24" s="32">
        <v>50000.0</v>
      </c>
      <c r="Q24" s="32">
        <v>50000.0</v>
      </c>
      <c r="R24" s="38">
        <f>SUM(F24:Q24)</f>
        <v>600000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ht="21.75" customHeight="1">
      <c r="A25" s="24"/>
      <c r="B25" s="56" t="s">
        <v>88</v>
      </c>
      <c r="C25" s="58">
        <f t="shared" ref="C25:R25" si="7">SUM(C19:C24)</f>
        <v>0</v>
      </c>
      <c r="D25" s="58">
        <f t="shared" si="7"/>
        <v>0</v>
      </c>
      <c r="E25" s="58">
        <f t="shared" si="7"/>
        <v>0</v>
      </c>
      <c r="F25" s="59">
        <f t="shared" si="7"/>
        <v>17300000</v>
      </c>
      <c r="G25" s="59">
        <f t="shared" si="7"/>
        <v>10300000</v>
      </c>
      <c r="H25" s="59">
        <f t="shared" si="7"/>
        <v>10700000</v>
      </c>
      <c r="I25" s="59">
        <f t="shared" si="7"/>
        <v>10900000</v>
      </c>
      <c r="J25" s="59">
        <f t="shared" si="7"/>
        <v>11300000</v>
      </c>
      <c r="K25" s="59">
        <f t="shared" si="7"/>
        <v>12300000</v>
      </c>
      <c r="L25" s="59">
        <f t="shared" si="7"/>
        <v>12300000</v>
      </c>
      <c r="M25" s="59">
        <f t="shared" si="7"/>
        <v>13300000</v>
      </c>
      <c r="N25" s="59">
        <f t="shared" si="7"/>
        <v>13300000</v>
      </c>
      <c r="O25" s="59">
        <f t="shared" si="7"/>
        <v>14300000</v>
      </c>
      <c r="P25" s="59">
        <f t="shared" si="7"/>
        <v>14300000</v>
      </c>
      <c r="Q25" s="59">
        <f t="shared" si="7"/>
        <v>15300000</v>
      </c>
      <c r="R25" s="59">
        <f t="shared" si="7"/>
        <v>155600000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ht="24.75" customHeight="1">
      <c r="A26" s="66"/>
      <c r="B26" s="65" t="s">
        <v>90</v>
      </c>
      <c r="C26" s="68">
        <f t="shared" ref="C26:R26" si="8">C17+C25</f>
        <v>58000000</v>
      </c>
      <c r="D26" s="68">
        <f t="shared" si="8"/>
        <v>45000000</v>
      </c>
      <c r="E26" s="68">
        <f t="shared" si="8"/>
        <v>49700000</v>
      </c>
      <c r="F26" s="67">
        <f t="shared" si="8"/>
        <v>52050000</v>
      </c>
      <c r="G26" s="67">
        <f t="shared" si="8"/>
        <v>42750000</v>
      </c>
      <c r="H26" s="67">
        <f t="shared" si="8"/>
        <v>43150000</v>
      </c>
      <c r="I26" s="67">
        <f t="shared" si="8"/>
        <v>43350000</v>
      </c>
      <c r="J26" s="67">
        <f t="shared" si="8"/>
        <v>43750000</v>
      </c>
      <c r="K26" s="67">
        <f t="shared" si="8"/>
        <v>44750000</v>
      </c>
      <c r="L26" s="67">
        <f t="shared" si="8"/>
        <v>44750000</v>
      </c>
      <c r="M26" s="67">
        <f t="shared" si="8"/>
        <v>45750000</v>
      </c>
      <c r="N26" s="67">
        <f t="shared" si="8"/>
        <v>45750000</v>
      </c>
      <c r="O26" s="67">
        <f t="shared" si="8"/>
        <v>46750000</v>
      </c>
      <c r="P26" s="67">
        <f t="shared" si="8"/>
        <v>46750000</v>
      </c>
      <c r="Q26" s="67">
        <f t="shared" si="8"/>
        <v>47750000</v>
      </c>
      <c r="R26" s="69">
        <f t="shared" si="8"/>
        <v>700000000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</row>
    <row r="28">
      <c r="B28" s="21" t="s">
        <v>92</v>
      </c>
    </row>
    <row r="29">
      <c r="B29" s="21" t="s">
        <v>93</v>
      </c>
    </row>
    <row r="31">
      <c r="E31" s="74">
        <f>SUM(C17:H17)+SUM(F25:H25)</f>
        <v>290650000</v>
      </c>
    </row>
  </sheetData>
  <mergeCells count="3">
    <mergeCell ref="B2:R2"/>
    <mergeCell ref="B5:R5"/>
    <mergeCell ref="B18:R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  <col customWidth="1" min="15" max="15" width="14.25"/>
  </cols>
  <sheetData>
    <row r="2">
      <c r="B2" s="62" t="s">
        <v>82</v>
      </c>
    </row>
    <row r="4">
      <c r="B4" s="19" t="s">
        <v>84</v>
      </c>
      <c r="C4" s="19" t="s">
        <v>10</v>
      </c>
      <c r="D4" s="19" t="s">
        <v>11</v>
      </c>
      <c r="E4" s="19" t="s">
        <v>13</v>
      </c>
      <c r="F4" s="19" t="s">
        <v>14</v>
      </c>
      <c r="G4" s="19" t="s">
        <v>15</v>
      </c>
      <c r="H4" s="19" t="s">
        <v>16</v>
      </c>
      <c r="I4" s="19" t="s">
        <v>17</v>
      </c>
      <c r="J4" s="19" t="s">
        <v>19</v>
      </c>
      <c r="K4" s="19" t="s">
        <v>21</v>
      </c>
      <c r="L4" s="19" t="s">
        <v>22</v>
      </c>
      <c r="M4" s="19" t="s">
        <v>23</v>
      </c>
      <c r="N4" s="19" t="s">
        <v>24</v>
      </c>
      <c r="O4" s="19" t="s">
        <v>26</v>
      </c>
    </row>
    <row r="5" ht="21.0" customHeight="1">
      <c r="B5" s="63" t="s">
        <v>87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>
      <c r="B6" s="36" t="s">
        <v>75</v>
      </c>
      <c r="C6" s="64">
        <f>'REVENUE MODEL'!C45</f>
        <v>7117890</v>
      </c>
      <c r="D6" s="64">
        <f>'REVENUE MODEL'!D10</f>
        <v>35535000</v>
      </c>
      <c r="E6" s="64">
        <f>'REVENUE MODEL'!E10</f>
        <v>44818000</v>
      </c>
      <c r="F6" s="64">
        <f>'REVENUE MODEL'!F10</f>
        <v>54900000</v>
      </c>
      <c r="G6" s="64">
        <f>'REVENUE MODEL'!G10</f>
        <v>65880000</v>
      </c>
      <c r="H6" s="64">
        <f>'REVENUE MODEL'!H10</f>
        <v>79455000</v>
      </c>
      <c r="I6" s="64">
        <f>'REVENUE MODEL'!I10</f>
        <v>93330000</v>
      </c>
      <c r="J6" s="64">
        <f>'REVENUE MODEL'!J10</f>
        <v>109800000</v>
      </c>
      <c r="K6" s="64">
        <f>'REVENUE MODEL'!K10</f>
        <v>126270000</v>
      </c>
      <c r="L6" s="64">
        <f>'REVENUE MODEL'!L10</f>
        <v>145335000</v>
      </c>
      <c r="M6" s="64">
        <f>'REVENUE MODEL'!M10</f>
        <v>164700000</v>
      </c>
      <c r="N6" s="64">
        <f>'REVENUE MODEL'!N10</f>
        <v>186660000</v>
      </c>
      <c r="O6" s="64">
        <f>SUM(C6:N6)</f>
        <v>1113800890</v>
      </c>
    </row>
    <row r="7">
      <c r="B7" s="36" t="s">
        <v>79</v>
      </c>
      <c r="C7" s="64">
        <f>'REVENUE MODEL'!C11</f>
        <v>2437500</v>
      </c>
      <c r="D7" s="64">
        <f>'REVENUE MODEL'!D11</f>
        <v>3168750</v>
      </c>
      <c r="E7" s="64">
        <f>'REVENUE MODEL'!E11</f>
        <v>3997500</v>
      </c>
      <c r="F7" s="64">
        <f>'REVENUE MODEL'!F11</f>
        <v>4875000</v>
      </c>
      <c r="G7" s="64">
        <f>'REVENUE MODEL'!G11</f>
        <v>5850000</v>
      </c>
      <c r="H7" s="64">
        <f>'REVENUE MODEL'!H11</f>
        <v>7068750</v>
      </c>
      <c r="I7" s="64">
        <f>'REVENUE MODEL'!I11</f>
        <v>8287500</v>
      </c>
      <c r="J7" s="64">
        <f>'REVENUE MODEL'!J11</f>
        <v>9750000</v>
      </c>
      <c r="K7" s="64">
        <f>'REVENUE MODEL'!K11</f>
        <v>11212500</v>
      </c>
      <c r="L7" s="64">
        <f>'REVENUE MODEL'!L11</f>
        <v>12918750</v>
      </c>
      <c r="M7" s="64">
        <f>'REVENUE MODEL'!M11</f>
        <v>14625000</v>
      </c>
      <c r="N7" s="64">
        <f>'REVENUE MODEL'!N11</f>
        <v>16575000</v>
      </c>
      <c r="O7" s="64">
        <f>'REVENUE MODEL'!O11</f>
        <v>100766250</v>
      </c>
    </row>
    <row r="8">
      <c r="B8" s="36" t="s">
        <v>89</v>
      </c>
      <c r="C8" s="64">
        <f t="shared" ref="C8:O8" si="1">SUM(C6:C7)</f>
        <v>9555390</v>
      </c>
      <c r="D8" s="64">
        <f t="shared" si="1"/>
        <v>38703750</v>
      </c>
      <c r="E8" s="64">
        <f t="shared" si="1"/>
        <v>48815500</v>
      </c>
      <c r="F8" s="64">
        <f t="shared" si="1"/>
        <v>59775000</v>
      </c>
      <c r="G8" s="64">
        <f t="shared" si="1"/>
        <v>71730000</v>
      </c>
      <c r="H8" s="64">
        <f t="shared" si="1"/>
        <v>86523750</v>
      </c>
      <c r="I8" s="64">
        <f t="shared" si="1"/>
        <v>101617500</v>
      </c>
      <c r="J8" s="64">
        <f t="shared" si="1"/>
        <v>119550000</v>
      </c>
      <c r="K8" s="64">
        <f t="shared" si="1"/>
        <v>137482500</v>
      </c>
      <c r="L8" s="64">
        <f t="shared" si="1"/>
        <v>158253750</v>
      </c>
      <c r="M8" s="64">
        <f t="shared" si="1"/>
        <v>179325000</v>
      </c>
      <c r="N8" s="64">
        <f t="shared" si="1"/>
        <v>203235000</v>
      </c>
      <c r="O8" s="64">
        <f t="shared" si="1"/>
        <v>1214567140</v>
      </c>
    </row>
    <row r="9">
      <c r="B9" s="75" t="s">
        <v>95</v>
      </c>
      <c r="C9" s="76">
        <v>0.0</v>
      </c>
      <c r="D9" s="76">
        <v>0.0</v>
      </c>
      <c r="E9" s="76">
        <v>0.0</v>
      </c>
      <c r="F9" s="76">
        <v>0.0</v>
      </c>
      <c r="G9" s="76">
        <v>0.0</v>
      </c>
      <c r="H9" s="76">
        <v>0.0</v>
      </c>
      <c r="I9" s="76">
        <v>0.0</v>
      </c>
      <c r="J9" s="76">
        <v>0.0</v>
      </c>
      <c r="K9" s="76">
        <v>0.0</v>
      </c>
      <c r="L9" s="76">
        <v>0.0</v>
      </c>
      <c r="M9" s="76">
        <v>0.0</v>
      </c>
      <c r="N9" s="76">
        <v>0.0</v>
      </c>
      <c r="O9" s="76">
        <v>0.0</v>
      </c>
    </row>
    <row r="10">
      <c r="B10" s="75" t="s">
        <v>96</v>
      </c>
      <c r="C10" s="64">
        <f t="shared" ref="C10:O10" si="2">C8-C9</f>
        <v>9555390</v>
      </c>
      <c r="D10" s="64">
        <f t="shared" si="2"/>
        <v>38703750</v>
      </c>
      <c r="E10" s="64">
        <f t="shared" si="2"/>
        <v>48815500</v>
      </c>
      <c r="F10" s="64">
        <f t="shared" si="2"/>
        <v>59775000</v>
      </c>
      <c r="G10" s="64">
        <f t="shared" si="2"/>
        <v>71730000</v>
      </c>
      <c r="H10" s="64">
        <f t="shared" si="2"/>
        <v>86523750</v>
      </c>
      <c r="I10" s="64">
        <f t="shared" si="2"/>
        <v>101617500</v>
      </c>
      <c r="J10" s="64">
        <f t="shared" si="2"/>
        <v>119550000</v>
      </c>
      <c r="K10" s="64">
        <f t="shared" si="2"/>
        <v>137482500</v>
      </c>
      <c r="L10" s="64">
        <f t="shared" si="2"/>
        <v>158253750</v>
      </c>
      <c r="M10" s="64">
        <f t="shared" si="2"/>
        <v>179325000</v>
      </c>
      <c r="N10" s="64">
        <f t="shared" si="2"/>
        <v>203235000</v>
      </c>
      <c r="O10" s="64">
        <f t="shared" si="2"/>
        <v>1214567140</v>
      </c>
    </row>
    <row r="11" ht="21.0" customHeight="1">
      <c r="B11" s="63" t="s">
        <v>97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</row>
    <row r="12">
      <c r="B12" s="36" t="s">
        <v>98</v>
      </c>
      <c r="C12" s="64">
        <f>'COST STRUCTURE'!F26</f>
        <v>52050000</v>
      </c>
      <c r="D12" s="64">
        <f>'COST STRUCTURE'!G26</f>
        <v>42750000</v>
      </c>
      <c r="E12" s="64">
        <f>'COST STRUCTURE'!H26</f>
        <v>43150000</v>
      </c>
      <c r="F12" s="64">
        <f>'COST STRUCTURE'!I26</f>
        <v>43350000</v>
      </c>
      <c r="G12" s="64">
        <f>'COST STRUCTURE'!J26</f>
        <v>43750000</v>
      </c>
      <c r="H12" s="64">
        <f>'COST STRUCTURE'!K26</f>
        <v>44750000</v>
      </c>
      <c r="I12" s="64">
        <f>'COST STRUCTURE'!L26</f>
        <v>44750000</v>
      </c>
      <c r="J12" s="64">
        <f>'COST STRUCTURE'!M26</f>
        <v>45750000</v>
      </c>
      <c r="K12" s="64">
        <f>'COST STRUCTURE'!N26</f>
        <v>45750000</v>
      </c>
      <c r="L12" s="64">
        <f>'COST STRUCTURE'!O26</f>
        <v>46750000</v>
      </c>
      <c r="M12" s="64">
        <f>'COST STRUCTURE'!P26</f>
        <v>46750000</v>
      </c>
      <c r="N12" s="64">
        <f>'COST STRUCTURE'!Q26</f>
        <v>47750000</v>
      </c>
      <c r="O12" s="64">
        <f>SUM(C12:N12)</f>
        <v>547300000</v>
      </c>
    </row>
    <row r="13">
      <c r="B13" s="75" t="s">
        <v>103</v>
      </c>
      <c r="C13" s="84">
        <f t="shared" ref="C13:O13" si="3">C10-C12</f>
        <v>-42494610</v>
      </c>
      <c r="D13" s="84">
        <f t="shared" si="3"/>
        <v>-4046250</v>
      </c>
      <c r="E13" s="84">
        <f t="shared" si="3"/>
        <v>5665500</v>
      </c>
      <c r="F13" s="64">
        <f t="shared" si="3"/>
        <v>16425000</v>
      </c>
      <c r="G13" s="64">
        <f t="shared" si="3"/>
        <v>27980000</v>
      </c>
      <c r="H13" s="64">
        <f t="shared" si="3"/>
        <v>41773750</v>
      </c>
      <c r="I13" s="64">
        <f t="shared" si="3"/>
        <v>56867500</v>
      </c>
      <c r="J13" s="64">
        <f t="shared" si="3"/>
        <v>73800000</v>
      </c>
      <c r="K13" s="64">
        <f t="shared" si="3"/>
        <v>91732500</v>
      </c>
      <c r="L13" s="64">
        <f t="shared" si="3"/>
        <v>111503750</v>
      </c>
      <c r="M13" s="64">
        <f t="shared" si="3"/>
        <v>132575000</v>
      </c>
      <c r="N13" s="64">
        <f t="shared" si="3"/>
        <v>155485000</v>
      </c>
      <c r="O13" s="64">
        <f t="shared" si="3"/>
        <v>667267140</v>
      </c>
    </row>
    <row r="14">
      <c r="B14" s="75" t="s">
        <v>111</v>
      </c>
      <c r="C14" s="76">
        <v>0.0</v>
      </c>
      <c r="D14" s="76">
        <v>0.0</v>
      </c>
      <c r="E14" s="76">
        <v>0.0</v>
      </c>
      <c r="F14" s="76">
        <v>0.0</v>
      </c>
      <c r="G14" s="76">
        <v>0.0</v>
      </c>
      <c r="H14" s="76">
        <v>0.0</v>
      </c>
      <c r="I14" s="76">
        <v>0.0</v>
      </c>
      <c r="J14" s="76">
        <v>0.0</v>
      </c>
      <c r="K14" s="76">
        <v>0.0</v>
      </c>
      <c r="L14" s="76">
        <v>0.0</v>
      </c>
      <c r="M14" s="76">
        <v>0.0</v>
      </c>
      <c r="N14" s="76">
        <v>0.0</v>
      </c>
      <c r="O14" s="76">
        <v>0.0</v>
      </c>
    </row>
    <row r="15">
      <c r="B15" s="75" t="s">
        <v>116</v>
      </c>
      <c r="C15" s="84">
        <f t="shared" ref="C15:O15" si="4">C13-C14</f>
        <v>-42494610</v>
      </c>
      <c r="D15" s="84">
        <f t="shared" si="4"/>
        <v>-4046250</v>
      </c>
      <c r="E15" s="84">
        <f t="shared" si="4"/>
        <v>5665500</v>
      </c>
      <c r="F15" s="64">
        <f t="shared" si="4"/>
        <v>16425000</v>
      </c>
      <c r="G15" s="64">
        <f t="shared" si="4"/>
        <v>27980000</v>
      </c>
      <c r="H15" s="64">
        <f t="shared" si="4"/>
        <v>41773750</v>
      </c>
      <c r="I15" s="64">
        <f t="shared" si="4"/>
        <v>56867500</v>
      </c>
      <c r="J15" s="64">
        <f t="shared" si="4"/>
        <v>73800000</v>
      </c>
      <c r="K15" s="64">
        <f t="shared" si="4"/>
        <v>91732500</v>
      </c>
      <c r="L15" s="64">
        <f t="shared" si="4"/>
        <v>111503750</v>
      </c>
      <c r="M15" s="64">
        <f t="shared" si="4"/>
        <v>132575000</v>
      </c>
      <c r="N15" s="64">
        <f t="shared" si="4"/>
        <v>155485000</v>
      </c>
      <c r="O15" s="64">
        <f t="shared" si="4"/>
        <v>667267140</v>
      </c>
    </row>
    <row r="16">
      <c r="B16" s="75" t="s">
        <v>119</v>
      </c>
      <c r="C16" s="92">
        <f t="shared" ref="C16:E16" si="5">C15+(0.5%*C15)</f>
        <v>-42707083.05</v>
      </c>
      <c r="D16" s="92">
        <f t="shared" si="5"/>
        <v>-4066481.25</v>
      </c>
      <c r="E16" s="92">
        <f t="shared" si="5"/>
        <v>5693827.5</v>
      </c>
      <c r="F16" s="93">
        <f t="shared" ref="F16:N16" si="6">F15-(0.5%*F15)</f>
        <v>16342875</v>
      </c>
      <c r="G16" s="93">
        <f t="shared" si="6"/>
        <v>27840100</v>
      </c>
      <c r="H16" s="93">
        <f t="shared" si="6"/>
        <v>41564881.25</v>
      </c>
      <c r="I16" s="93">
        <f t="shared" si="6"/>
        <v>56583162.5</v>
      </c>
      <c r="J16" s="93">
        <f t="shared" si="6"/>
        <v>73431000</v>
      </c>
      <c r="K16" s="93">
        <f t="shared" si="6"/>
        <v>91273837.5</v>
      </c>
      <c r="L16" s="93">
        <f t="shared" si="6"/>
        <v>110946231.3</v>
      </c>
      <c r="M16" s="93">
        <f t="shared" si="6"/>
        <v>131912125</v>
      </c>
      <c r="N16" s="93">
        <f t="shared" si="6"/>
        <v>154707575</v>
      </c>
      <c r="O16" s="94">
        <f>SUM(C16:N16)</f>
        <v>663522050.7</v>
      </c>
      <c r="P16" s="95" t="s">
        <v>126</v>
      </c>
    </row>
    <row r="18">
      <c r="O18" s="35">
        <f>20%*O15</f>
        <v>133453428</v>
      </c>
    </row>
    <row r="19">
      <c r="O19" s="35">
        <f>O18/12</f>
        <v>11121119</v>
      </c>
    </row>
    <row r="20">
      <c r="O20" s="96">
        <v>5000000.0</v>
      </c>
    </row>
    <row r="21">
      <c r="O21" s="74">
        <f>O19+O20</f>
        <v>16121119</v>
      </c>
      <c r="P21" s="21" t="s">
        <v>40</v>
      </c>
    </row>
  </sheetData>
  <mergeCells count="3">
    <mergeCell ref="B2:O2"/>
    <mergeCell ref="B5:O5"/>
    <mergeCell ref="B11:O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3" max="3" width="19.25"/>
    <col customWidth="1" min="6" max="6" width="24.75"/>
    <col customWidth="1" min="7" max="7" width="14.88"/>
    <col customWidth="1" min="10" max="10" width="17.25"/>
    <col customWidth="1" min="12" max="12" width="8.63"/>
    <col customWidth="1" min="13" max="15" width="17.38"/>
    <col customWidth="1" min="16" max="16" width="18.88"/>
  </cols>
  <sheetData>
    <row r="2">
      <c r="B2" s="77" t="s">
        <v>99</v>
      </c>
    </row>
    <row r="4" ht="42.75" customHeight="1">
      <c r="B4" s="78" t="s">
        <v>100</v>
      </c>
      <c r="C4" s="13"/>
      <c r="D4" s="79" t="s">
        <v>101</v>
      </c>
      <c r="E4" s="80"/>
      <c r="F4" s="81" t="s">
        <v>102</v>
      </c>
      <c r="G4" s="12"/>
      <c r="H4" s="12"/>
      <c r="I4" s="13"/>
      <c r="J4" s="82" t="s">
        <v>104</v>
      </c>
      <c r="L4" s="83" t="s">
        <v>105</v>
      </c>
      <c r="M4" s="12"/>
      <c r="N4" s="12"/>
      <c r="O4" s="13"/>
      <c r="P4" s="85" t="s">
        <v>106</v>
      </c>
    </row>
    <row r="5" ht="21.0" customHeight="1">
      <c r="B5" s="86" t="s">
        <v>107</v>
      </c>
      <c r="C5" s="86" t="s">
        <v>108</v>
      </c>
      <c r="D5" s="86" t="s">
        <v>109</v>
      </c>
      <c r="F5" s="87" t="s">
        <v>107</v>
      </c>
      <c r="G5" s="88" t="s">
        <v>10</v>
      </c>
      <c r="H5" s="88" t="s">
        <v>11</v>
      </c>
      <c r="I5" s="88" t="s">
        <v>13</v>
      </c>
      <c r="J5" s="87" t="s">
        <v>110</v>
      </c>
      <c r="L5" s="89" t="s">
        <v>25</v>
      </c>
      <c r="M5" s="89" t="s">
        <v>89</v>
      </c>
      <c r="N5" s="89" t="s">
        <v>112</v>
      </c>
      <c r="O5" s="89" t="s">
        <v>113</v>
      </c>
      <c r="P5" s="89" t="s">
        <v>114</v>
      </c>
    </row>
    <row r="6">
      <c r="B6" s="36" t="s">
        <v>115</v>
      </c>
      <c r="C6" s="36" t="s">
        <v>117</v>
      </c>
      <c r="D6" s="90">
        <v>4.5E7</v>
      </c>
      <c r="F6" s="36" t="s">
        <v>118</v>
      </c>
      <c r="G6" s="90">
        <v>5000000.0</v>
      </c>
      <c r="H6" s="90">
        <v>5000000.0</v>
      </c>
      <c r="I6" s="90">
        <v>5000000.0</v>
      </c>
      <c r="J6" s="64">
        <f t="shared" ref="J6:J12" si="1">SUM(G6:I6)</f>
        <v>15000000</v>
      </c>
      <c r="L6" s="91" t="s">
        <v>10</v>
      </c>
      <c r="M6" s="64">
        <f>'REVENUE MODEL'!C12</f>
        <v>29887500</v>
      </c>
      <c r="N6" s="16"/>
      <c r="O6" s="16"/>
      <c r="P6" s="16"/>
    </row>
    <row r="7">
      <c r="B7" s="36" t="s">
        <v>120</v>
      </c>
      <c r="C7" s="36" t="s">
        <v>121</v>
      </c>
      <c r="D7" s="90">
        <v>3000000.0</v>
      </c>
      <c r="F7" s="36" t="s">
        <v>122</v>
      </c>
      <c r="G7" s="64"/>
      <c r="H7" s="16"/>
      <c r="I7" s="16"/>
      <c r="J7" s="64">
        <f t="shared" si="1"/>
        <v>0</v>
      </c>
      <c r="L7" s="91" t="s">
        <v>11</v>
      </c>
      <c r="M7" s="64">
        <f>'REVENUE MODEL'!D$12</f>
        <v>38703750</v>
      </c>
      <c r="N7" s="16"/>
      <c r="O7" s="16"/>
      <c r="P7" s="16"/>
    </row>
    <row r="8">
      <c r="B8" s="36" t="s">
        <v>123</v>
      </c>
      <c r="C8" s="36" t="s">
        <v>124</v>
      </c>
      <c r="D8" s="90">
        <v>2000000.0</v>
      </c>
      <c r="F8" s="36" t="s">
        <v>125</v>
      </c>
      <c r="G8" s="64">
        <f>PRICING!C19*'GROWTH PROJECTION'!C6</f>
        <v>10000000</v>
      </c>
      <c r="H8" s="64">
        <f>PRICING!C19*('GROWTH PROJECTION'!C7-'GROWTH PROJECTION'!C6)</f>
        <v>3000000</v>
      </c>
      <c r="I8" s="64">
        <f>PRICING!C19*('GROWTH PROJECTION'!C8-'GROWTH PROJECTION'!C7)</f>
        <v>3400000</v>
      </c>
      <c r="J8" s="64">
        <f t="shared" si="1"/>
        <v>16400000</v>
      </c>
      <c r="L8" s="91" t="s">
        <v>13</v>
      </c>
      <c r="M8" s="64">
        <f>'REVENUE MODEL'!E$12</f>
        <v>48815500</v>
      </c>
      <c r="N8" s="16"/>
      <c r="O8" s="16"/>
      <c r="P8" s="16"/>
    </row>
    <row r="9">
      <c r="B9" s="36" t="s">
        <v>127</v>
      </c>
      <c r="C9" s="36" t="s">
        <v>128</v>
      </c>
      <c r="D9" s="90">
        <v>2300000.0</v>
      </c>
      <c r="F9" s="36" t="s">
        <v>129</v>
      </c>
      <c r="G9" s="90">
        <v>2000000.0</v>
      </c>
      <c r="H9" s="90">
        <v>2000000.0</v>
      </c>
      <c r="I9" s="90">
        <v>2000000.0</v>
      </c>
      <c r="J9" s="64">
        <f t="shared" si="1"/>
        <v>6000000</v>
      </c>
      <c r="L9" s="91" t="s">
        <v>14</v>
      </c>
      <c r="M9" s="64">
        <f>'REVENUE MODEL'!F$12</f>
        <v>59775000</v>
      </c>
      <c r="N9" s="16"/>
      <c r="O9" s="16"/>
      <c r="P9" s="16"/>
    </row>
    <row r="10">
      <c r="B10" s="36" t="s">
        <v>130</v>
      </c>
      <c r="C10" s="36" t="s">
        <v>131</v>
      </c>
      <c r="D10" s="90">
        <v>2400000.0</v>
      </c>
      <c r="F10" s="36" t="s">
        <v>132</v>
      </c>
      <c r="G10" s="90">
        <v>500000.0</v>
      </c>
      <c r="H10" s="90">
        <v>500000.0</v>
      </c>
      <c r="I10" s="90">
        <v>500000.0</v>
      </c>
      <c r="J10" s="64">
        <f t="shared" si="1"/>
        <v>1500000</v>
      </c>
      <c r="L10" s="91" t="s">
        <v>15</v>
      </c>
      <c r="M10" s="64">
        <f>'REVENUE MODEL'!G$12</f>
        <v>71730000</v>
      </c>
      <c r="N10" s="16"/>
      <c r="O10" s="16"/>
      <c r="P10" s="16"/>
    </row>
    <row r="11">
      <c r="B11" s="36" t="s">
        <v>133</v>
      </c>
      <c r="C11" s="36" t="s">
        <v>134</v>
      </c>
      <c r="D11" s="90">
        <v>1.0E7</v>
      </c>
      <c r="F11" s="36" t="s">
        <v>135</v>
      </c>
      <c r="G11" s="90">
        <v>500000.0</v>
      </c>
      <c r="H11" s="90">
        <v>500000.0</v>
      </c>
      <c r="I11" s="90">
        <v>500000.0</v>
      </c>
      <c r="J11" s="64">
        <f t="shared" si="1"/>
        <v>1500000</v>
      </c>
      <c r="L11" s="91" t="s">
        <v>16</v>
      </c>
      <c r="M11" s="64">
        <f>'REVENUE MODEL'!H$12</f>
        <v>86523750</v>
      </c>
      <c r="N11" s="16"/>
      <c r="O11" s="16"/>
      <c r="P11" s="16"/>
    </row>
    <row r="12" ht="18.0" customHeight="1">
      <c r="B12" s="28" t="s">
        <v>136</v>
      </c>
      <c r="C12" s="28" t="s">
        <v>137</v>
      </c>
      <c r="D12" s="32">
        <v>9.0E7</v>
      </c>
      <c r="F12" s="97" t="s">
        <v>138</v>
      </c>
      <c r="G12" s="98">
        <f t="shared" ref="G12:I12" si="2">SUM(G6:G11)</f>
        <v>18000000</v>
      </c>
      <c r="H12" s="98">
        <f t="shared" si="2"/>
        <v>11000000</v>
      </c>
      <c r="I12" s="98">
        <f t="shared" si="2"/>
        <v>11400000</v>
      </c>
      <c r="J12" s="99">
        <f t="shared" si="1"/>
        <v>40400000</v>
      </c>
      <c r="L12" s="91" t="s">
        <v>17</v>
      </c>
      <c r="M12" s="64">
        <f>'REVENUE MODEL'!I$12</f>
        <v>101617500</v>
      </c>
      <c r="N12" s="16"/>
      <c r="O12" s="16"/>
      <c r="P12" s="16"/>
    </row>
    <row r="13" ht="19.5" customHeight="1">
      <c r="B13" s="28" t="s">
        <v>139</v>
      </c>
      <c r="C13" s="28" t="s">
        <v>140</v>
      </c>
      <c r="D13" s="32">
        <v>5000000.0</v>
      </c>
      <c r="F13" s="100" t="s">
        <v>141</v>
      </c>
      <c r="G13" s="101"/>
      <c r="H13" s="101"/>
      <c r="I13" s="101"/>
      <c r="J13" s="102"/>
      <c r="L13" s="91" t="s">
        <v>19</v>
      </c>
      <c r="M13" s="64">
        <f>'REVENUE MODEL'!J$12</f>
        <v>119550000</v>
      </c>
      <c r="N13" s="16"/>
      <c r="O13" s="16"/>
      <c r="P13" s="16"/>
    </row>
    <row r="14">
      <c r="B14" s="103" t="s">
        <v>142</v>
      </c>
      <c r="C14" s="13"/>
      <c r="D14" s="104">
        <f>SUM(D6:D13)</f>
        <v>159700000</v>
      </c>
      <c r="F14" s="105"/>
      <c r="G14" s="106"/>
      <c r="H14" s="106"/>
      <c r="I14" s="106"/>
      <c r="J14" s="107"/>
      <c r="L14" s="91" t="s">
        <v>21</v>
      </c>
      <c r="M14" s="64">
        <f>'REVENUE MODEL'!K$12</f>
        <v>137482500</v>
      </c>
      <c r="N14" s="16"/>
      <c r="O14" s="16"/>
      <c r="P14" s="16"/>
    </row>
    <row r="15">
      <c r="B15" s="100" t="s">
        <v>143</v>
      </c>
      <c r="C15" s="101"/>
      <c r="D15" s="102"/>
      <c r="L15" s="91" t="s">
        <v>22</v>
      </c>
      <c r="M15" s="64">
        <f>'REVENUE MODEL'!L$12</f>
        <v>158253750</v>
      </c>
      <c r="N15" s="16"/>
      <c r="O15" s="16"/>
      <c r="P15" s="16"/>
    </row>
    <row r="16">
      <c r="B16" s="105"/>
      <c r="C16" s="106"/>
      <c r="D16" s="107"/>
      <c r="L16" s="91" t="s">
        <v>23</v>
      </c>
      <c r="M16" s="64">
        <f>'REVENUE MODEL'!M$12</f>
        <v>179325000</v>
      </c>
      <c r="N16" s="16"/>
      <c r="O16" s="16"/>
      <c r="P16" s="16"/>
    </row>
    <row r="17">
      <c r="L17" s="91" t="s">
        <v>24</v>
      </c>
      <c r="M17" s="64">
        <f>'REVENUE MODEL'!N$12</f>
        <v>203235000</v>
      </c>
      <c r="N17" s="16"/>
      <c r="O17" s="16"/>
      <c r="P17" s="16"/>
    </row>
    <row r="19">
      <c r="F19" s="108" t="s">
        <v>144</v>
      </c>
      <c r="G19" s="12"/>
      <c r="H19" s="12"/>
      <c r="I19" s="12"/>
      <c r="J19" s="13"/>
    </row>
    <row r="20">
      <c r="B20" s="109" t="s">
        <v>145</v>
      </c>
      <c r="C20" s="13"/>
      <c r="F20" s="110" t="s">
        <v>84</v>
      </c>
      <c r="G20" s="111" t="s">
        <v>146</v>
      </c>
      <c r="H20" s="112" t="s">
        <v>147</v>
      </c>
      <c r="I20" s="113" t="s">
        <v>148</v>
      </c>
      <c r="J20" s="102"/>
    </row>
    <row r="21">
      <c r="B21" s="114" t="s">
        <v>84</v>
      </c>
      <c r="C21" s="114" t="s">
        <v>109</v>
      </c>
      <c r="F21" s="36" t="s">
        <v>149</v>
      </c>
      <c r="G21" s="94">
        <f>C26</f>
        <v>437948050</v>
      </c>
      <c r="I21" s="105"/>
      <c r="J21" s="107"/>
    </row>
    <row r="22">
      <c r="B22" s="36" t="s">
        <v>150</v>
      </c>
      <c r="C22" s="64">
        <f>'COST STRUCTURE'!R26</f>
        <v>700000000</v>
      </c>
      <c r="F22" s="36" t="s">
        <v>151</v>
      </c>
      <c r="G22" s="115">
        <v>1.5E9</v>
      </c>
      <c r="I22" s="116" t="s">
        <v>152</v>
      </c>
      <c r="J22" s="102"/>
    </row>
    <row r="23">
      <c r="B23" s="36" t="s">
        <v>153</v>
      </c>
      <c r="C23" s="64">
        <f>'REVENUE MODEL'!O47</f>
        <v>332051950</v>
      </c>
      <c r="F23" s="36" t="s">
        <v>154</v>
      </c>
      <c r="G23" s="115">
        <f>G22+G21</f>
        <v>1937948050</v>
      </c>
      <c r="I23" s="117" t="s">
        <v>156</v>
      </c>
      <c r="J23" s="118"/>
    </row>
    <row r="24">
      <c r="B24" s="119" t="s">
        <v>157</v>
      </c>
      <c r="C24" s="64">
        <f>C22-C23</f>
        <v>367948050</v>
      </c>
      <c r="F24" s="36" t="s">
        <v>158</v>
      </c>
      <c r="G24" s="120" t="s">
        <v>159</v>
      </c>
      <c r="I24" s="117" t="s">
        <v>160</v>
      </c>
      <c r="J24" s="118"/>
    </row>
    <row r="25">
      <c r="B25" s="36" t="s">
        <v>161</v>
      </c>
      <c r="C25" s="64">
        <f>10%*C22</f>
        <v>70000000</v>
      </c>
      <c r="F25" s="36" t="s">
        <v>162</v>
      </c>
      <c r="G25" s="121">
        <v>0.2</v>
      </c>
      <c r="I25" s="117" t="s">
        <v>163</v>
      </c>
      <c r="J25" s="118"/>
    </row>
    <row r="26">
      <c r="B26" s="122" t="s">
        <v>164</v>
      </c>
      <c r="C26" s="123">
        <f>C24+C25</f>
        <v>437948050</v>
      </c>
      <c r="F26" s="36" t="s">
        <v>165</v>
      </c>
      <c r="G26" s="120" t="s">
        <v>7</v>
      </c>
      <c r="H26" s="106"/>
      <c r="I26" s="124" t="s">
        <v>166</v>
      </c>
      <c r="J26" s="107"/>
    </row>
    <row r="27">
      <c r="B27" s="125" t="s">
        <v>167</v>
      </c>
      <c r="C27" s="13"/>
    </row>
    <row r="28">
      <c r="D28" s="126"/>
      <c r="S28" s="127">
        <v>2.0</v>
      </c>
    </row>
    <row r="29">
      <c r="B29" s="126"/>
      <c r="C29" s="126"/>
      <c r="D29" s="126"/>
      <c r="E29" s="128"/>
      <c r="F29" s="128"/>
    </row>
    <row r="30">
      <c r="B30" s="129" t="s">
        <v>168</v>
      </c>
      <c r="C30" s="12"/>
      <c r="D30" s="13"/>
    </row>
    <row r="31">
      <c r="B31" s="130" t="s">
        <v>169</v>
      </c>
      <c r="C31" s="130" t="s">
        <v>109</v>
      </c>
      <c r="D31" s="130" t="s">
        <v>170</v>
      </c>
    </row>
    <row r="32">
      <c r="B32" s="36" t="s">
        <v>171</v>
      </c>
      <c r="C32" s="64">
        <f>SUM('COST STRUCTURE'!R6:R10)+SUM('COST STRUCTURE'!R13:R16)</f>
        <v>94400000</v>
      </c>
      <c r="D32" s="131">
        <f t="shared" ref="D32:D37" si="3">C32/$C$37</f>
        <v>0.118</v>
      </c>
    </row>
    <row r="33">
      <c r="B33" s="36" t="s">
        <v>172</v>
      </c>
      <c r="C33" s="64">
        <f>'COST STRUCTURE'!R19+'COST STRUCTURE'!R21+'COST STRUCTURE'!R22</f>
        <v>124000000</v>
      </c>
      <c r="D33" s="131">
        <f t="shared" si="3"/>
        <v>0.155</v>
      </c>
    </row>
    <row r="34">
      <c r="B34" s="36" t="s">
        <v>173</v>
      </c>
      <c r="C34" s="64">
        <f>'COST STRUCTURE'!R11+'COST STRUCTURE'!R12</f>
        <v>450000000</v>
      </c>
      <c r="D34" s="131">
        <f t="shared" si="3"/>
        <v>0.5625</v>
      </c>
    </row>
    <row r="35">
      <c r="B35" s="36" t="s">
        <v>174</v>
      </c>
      <c r="C35" s="64">
        <f>'COST STRUCTURE'!R20</f>
        <v>27000000</v>
      </c>
      <c r="D35" s="131">
        <f t="shared" si="3"/>
        <v>0.03375</v>
      </c>
    </row>
    <row r="36">
      <c r="B36" s="36" t="s">
        <v>175</v>
      </c>
      <c r="C36" s="64">
        <f>'COST STRUCTURE'!R23+'COST STRUCTURE'!R24+100000000</f>
        <v>104600000</v>
      </c>
      <c r="D36" s="131">
        <f t="shared" si="3"/>
        <v>0.13075</v>
      </c>
    </row>
    <row r="37">
      <c r="B37" s="130" t="s">
        <v>26</v>
      </c>
      <c r="C37" s="132">
        <f>SUM(C32:C36)</f>
        <v>800000000</v>
      </c>
      <c r="D37" s="133">
        <f t="shared" si="3"/>
        <v>1</v>
      </c>
    </row>
    <row r="38">
      <c r="C38" s="134" t="s">
        <v>177</v>
      </c>
      <c r="D38" s="135"/>
    </row>
    <row r="39">
      <c r="C39" s="137"/>
      <c r="D39" s="138"/>
    </row>
    <row r="40">
      <c r="C40" s="137"/>
      <c r="D40" s="138"/>
    </row>
    <row r="41">
      <c r="C41" s="137"/>
      <c r="D41" s="138"/>
    </row>
    <row r="42">
      <c r="C42" s="137"/>
      <c r="D42" s="138"/>
    </row>
    <row r="43">
      <c r="C43" s="137"/>
      <c r="D43" s="138"/>
    </row>
    <row r="44">
      <c r="C44" s="137"/>
      <c r="D44" s="138"/>
    </row>
    <row r="45">
      <c r="C45" s="137"/>
      <c r="D45" s="138"/>
    </row>
    <row r="46">
      <c r="C46" s="139"/>
      <c r="D46" s="140"/>
    </row>
    <row r="53">
      <c r="E53" s="48" t="s">
        <v>179</v>
      </c>
    </row>
    <row r="54">
      <c r="B54" s="48" t="s">
        <v>107</v>
      </c>
      <c r="C54" s="48" t="s">
        <v>181</v>
      </c>
      <c r="D54" s="48" t="s">
        <v>182</v>
      </c>
      <c r="E54" s="143">
        <v>6.0E7</v>
      </c>
    </row>
    <row r="55">
      <c r="B55" s="48" t="s">
        <v>183</v>
      </c>
      <c r="C55" s="143">
        <v>4.5E7</v>
      </c>
      <c r="D55" s="143">
        <v>5.5E7</v>
      </c>
      <c r="E55" s="143">
        <v>2.75E7</v>
      </c>
    </row>
    <row r="56">
      <c r="B56" s="48" t="s">
        <v>184</v>
      </c>
      <c r="C56" s="143">
        <v>1.25E7</v>
      </c>
      <c r="D56" s="143">
        <v>2.0E7</v>
      </c>
      <c r="E56" s="143">
        <v>1.8E8</v>
      </c>
    </row>
    <row r="57">
      <c r="B57" s="48" t="s">
        <v>185</v>
      </c>
      <c r="C57" s="143">
        <v>5.0E7</v>
      </c>
      <c r="D57" s="143">
        <v>1.15E8</v>
      </c>
      <c r="E57" s="143">
        <v>3.36E8</v>
      </c>
    </row>
    <row r="58">
      <c r="B58" s="48" t="s">
        <v>186</v>
      </c>
      <c r="C58" s="143">
        <v>9.6E7</v>
      </c>
      <c r="D58" s="143">
        <v>2.4E8</v>
      </c>
      <c r="E58" s="143">
        <v>2.0E8</v>
      </c>
    </row>
    <row r="59">
      <c r="B59" s="48" t="s">
        <v>64</v>
      </c>
      <c r="C59" s="143">
        <v>5.0E7</v>
      </c>
      <c r="D59" s="143">
        <v>1.0E8</v>
      </c>
      <c r="E59" s="143">
        <v>9.0E7</v>
      </c>
    </row>
    <row r="60">
      <c r="B60" s="48" t="s">
        <v>187</v>
      </c>
      <c r="C60" s="143">
        <v>2.7E7</v>
      </c>
      <c r="D60" s="143">
        <v>4.5E7</v>
      </c>
      <c r="E60" s="143">
        <v>2.5E8</v>
      </c>
    </row>
    <row r="61">
      <c r="B61" s="48" t="s">
        <v>188</v>
      </c>
      <c r="C61" s="143">
        <v>5.0E7</v>
      </c>
      <c r="D61" s="143">
        <v>1.5E8</v>
      </c>
      <c r="E61" s="143">
        <v>1.1435E9</v>
      </c>
    </row>
    <row r="62">
      <c r="B62" s="48" t="s">
        <v>26</v>
      </c>
      <c r="C62" s="143">
        <v>3.305E8</v>
      </c>
      <c r="D62" s="143">
        <v>7.25E8</v>
      </c>
    </row>
  </sheetData>
  <mergeCells count="19">
    <mergeCell ref="B2:P2"/>
    <mergeCell ref="B4:C4"/>
    <mergeCell ref="F4:I4"/>
    <mergeCell ref="L4:O4"/>
    <mergeCell ref="F13:J14"/>
    <mergeCell ref="B14:C14"/>
    <mergeCell ref="F19:J19"/>
    <mergeCell ref="I25:J25"/>
    <mergeCell ref="I26:J26"/>
    <mergeCell ref="B27:C27"/>
    <mergeCell ref="B30:D30"/>
    <mergeCell ref="C38:D46"/>
    <mergeCell ref="B15:D16"/>
    <mergeCell ref="B20:C20"/>
    <mergeCell ref="H20:H26"/>
    <mergeCell ref="I20:J21"/>
    <mergeCell ref="I22:J22"/>
    <mergeCell ref="I23:J23"/>
    <mergeCell ref="I24:J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15" width="15.25"/>
  </cols>
  <sheetData>
    <row r="2">
      <c r="B2" s="136" t="s">
        <v>176</v>
      </c>
    </row>
    <row r="4">
      <c r="B4" s="19" t="s">
        <v>84</v>
      </c>
      <c r="C4" s="19" t="s">
        <v>10</v>
      </c>
      <c r="D4" s="19" t="s">
        <v>11</v>
      </c>
      <c r="E4" s="19" t="s">
        <v>13</v>
      </c>
      <c r="F4" s="19" t="s">
        <v>14</v>
      </c>
      <c r="G4" s="19" t="s">
        <v>15</v>
      </c>
      <c r="H4" s="19" t="s">
        <v>16</v>
      </c>
      <c r="I4" s="19" t="s">
        <v>17</v>
      </c>
      <c r="J4" s="19" t="s">
        <v>19</v>
      </c>
      <c r="K4" s="19" t="s">
        <v>21</v>
      </c>
      <c r="L4" s="19" t="s">
        <v>22</v>
      </c>
      <c r="M4" s="19" t="s">
        <v>23</v>
      </c>
      <c r="N4" s="19" t="s">
        <v>24</v>
      </c>
      <c r="O4" s="19" t="s">
        <v>26</v>
      </c>
    </row>
    <row r="5">
      <c r="B5" s="141" t="s">
        <v>178</v>
      </c>
      <c r="C5" s="142">
        <v>5.0E8</v>
      </c>
      <c r="D5" s="145">
        <f t="shared" ref="D5:N5" si="1">C14</f>
        <v>477837500</v>
      </c>
      <c r="E5" s="145">
        <f t="shared" si="1"/>
        <v>473791250</v>
      </c>
      <c r="F5" s="145">
        <f t="shared" si="1"/>
        <v>479456750</v>
      </c>
      <c r="G5" s="145">
        <f t="shared" si="1"/>
        <v>495881750</v>
      </c>
      <c r="H5" s="145">
        <f t="shared" si="1"/>
        <v>523861750</v>
      </c>
      <c r="I5" s="145">
        <f t="shared" si="1"/>
        <v>565635500</v>
      </c>
      <c r="J5" s="145">
        <f t="shared" si="1"/>
        <v>622503000</v>
      </c>
      <c r="K5" s="145">
        <f t="shared" si="1"/>
        <v>696303000</v>
      </c>
      <c r="L5" s="145">
        <f t="shared" si="1"/>
        <v>788035500</v>
      </c>
      <c r="M5" s="145">
        <f t="shared" si="1"/>
        <v>899539250</v>
      </c>
      <c r="N5" s="145">
        <f t="shared" si="1"/>
        <v>1032114250</v>
      </c>
      <c r="O5" s="146"/>
    </row>
    <row r="6">
      <c r="B6" s="147" t="s">
        <v>189</v>
      </c>
      <c r="C6" s="64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>
      <c r="B7" s="36" t="s">
        <v>190</v>
      </c>
      <c r="C7" s="64">
        <f>'REVENUE MODEL'!C12</f>
        <v>29887500</v>
      </c>
      <c r="D7" s="64">
        <f>'REVENUE MODEL'!D12</f>
        <v>38703750</v>
      </c>
      <c r="E7" s="64">
        <f>'REVENUE MODEL'!E12</f>
        <v>48815500</v>
      </c>
      <c r="F7" s="64">
        <f>'REVENUE MODEL'!F12</f>
        <v>59775000</v>
      </c>
      <c r="G7" s="64">
        <f>'REVENUE MODEL'!G12</f>
        <v>71730000</v>
      </c>
      <c r="H7" s="64">
        <f>'REVENUE MODEL'!H12</f>
        <v>86523750</v>
      </c>
      <c r="I7" s="64">
        <f>'REVENUE MODEL'!I12</f>
        <v>101617500</v>
      </c>
      <c r="J7" s="64">
        <f>'REVENUE MODEL'!J12</f>
        <v>119550000</v>
      </c>
      <c r="K7" s="64">
        <f>'REVENUE MODEL'!K12</f>
        <v>137482500</v>
      </c>
      <c r="L7" s="64">
        <f>'REVENUE MODEL'!L12</f>
        <v>158253750</v>
      </c>
      <c r="M7" s="64">
        <f>'REVENUE MODEL'!M12</f>
        <v>179325000</v>
      </c>
      <c r="N7" s="64">
        <f>'REVENUE MODEL'!N12</f>
        <v>203235000</v>
      </c>
      <c r="O7" s="64">
        <f t="shared" ref="O7:O9" si="2">SUM(C7:N7)</f>
        <v>1234899250</v>
      </c>
    </row>
    <row r="8">
      <c r="B8" s="36" t="s">
        <v>191</v>
      </c>
      <c r="C8" s="90">
        <f>C5</f>
        <v>500000000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64">
        <f t="shared" si="2"/>
        <v>500000000</v>
      </c>
    </row>
    <row r="9">
      <c r="B9" s="119" t="s">
        <v>192</v>
      </c>
      <c r="C9" s="64">
        <f t="shared" ref="C9:N9" si="3">C7+C8</f>
        <v>529887500</v>
      </c>
      <c r="D9" s="64">
        <f t="shared" si="3"/>
        <v>38703750</v>
      </c>
      <c r="E9" s="64">
        <f t="shared" si="3"/>
        <v>48815500</v>
      </c>
      <c r="F9" s="64">
        <f t="shared" si="3"/>
        <v>59775000</v>
      </c>
      <c r="G9" s="64">
        <f t="shared" si="3"/>
        <v>71730000</v>
      </c>
      <c r="H9" s="64">
        <f t="shared" si="3"/>
        <v>86523750</v>
      </c>
      <c r="I9" s="64">
        <f t="shared" si="3"/>
        <v>101617500</v>
      </c>
      <c r="J9" s="64">
        <f t="shared" si="3"/>
        <v>119550000</v>
      </c>
      <c r="K9" s="64">
        <f t="shared" si="3"/>
        <v>137482500</v>
      </c>
      <c r="L9" s="64">
        <f t="shared" si="3"/>
        <v>158253750</v>
      </c>
      <c r="M9" s="64">
        <f t="shared" si="3"/>
        <v>179325000</v>
      </c>
      <c r="N9" s="64">
        <f t="shared" si="3"/>
        <v>203235000</v>
      </c>
      <c r="O9" s="64">
        <f t="shared" si="2"/>
        <v>1734899250</v>
      </c>
    </row>
    <row r="10">
      <c r="B10" s="147" t="s">
        <v>193</v>
      </c>
      <c r="C10" s="64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>
      <c r="B11" s="36" t="s">
        <v>194</v>
      </c>
      <c r="C11" s="64">
        <f>'P&amp;L STATEMENT'!C12</f>
        <v>52050000</v>
      </c>
      <c r="D11" s="64">
        <f>'P&amp;L STATEMENT'!D12</f>
        <v>42750000</v>
      </c>
      <c r="E11" s="64">
        <f>'P&amp;L STATEMENT'!E12</f>
        <v>43150000</v>
      </c>
      <c r="F11" s="64">
        <f>'P&amp;L STATEMENT'!F12</f>
        <v>43350000</v>
      </c>
      <c r="G11" s="64">
        <f>'P&amp;L STATEMENT'!G12</f>
        <v>43750000</v>
      </c>
      <c r="H11" s="64">
        <f>'P&amp;L STATEMENT'!H12</f>
        <v>44750000</v>
      </c>
      <c r="I11" s="64">
        <f>'P&amp;L STATEMENT'!I12</f>
        <v>44750000</v>
      </c>
      <c r="J11" s="64">
        <f>'P&amp;L STATEMENT'!J12</f>
        <v>45750000</v>
      </c>
      <c r="K11" s="64">
        <f>'P&amp;L STATEMENT'!K12</f>
        <v>45750000</v>
      </c>
      <c r="L11" s="64">
        <f>'P&amp;L STATEMENT'!L12</f>
        <v>46750000</v>
      </c>
      <c r="M11" s="64">
        <f>'P&amp;L STATEMENT'!M12</f>
        <v>46750000</v>
      </c>
      <c r="N11" s="64">
        <f>'P&amp;L STATEMENT'!N12</f>
        <v>47750000</v>
      </c>
      <c r="O11" s="64">
        <f t="shared" ref="O11:O12" si="5">SUM(C11:N11)</f>
        <v>547300000</v>
      </c>
    </row>
    <row r="12">
      <c r="B12" s="119" t="s">
        <v>195</v>
      </c>
      <c r="C12" s="64">
        <f t="shared" ref="C12:N12" si="4">C11</f>
        <v>52050000</v>
      </c>
      <c r="D12" s="64">
        <f t="shared" si="4"/>
        <v>42750000</v>
      </c>
      <c r="E12" s="64">
        <f t="shared" si="4"/>
        <v>43150000</v>
      </c>
      <c r="F12" s="64">
        <f t="shared" si="4"/>
        <v>43350000</v>
      </c>
      <c r="G12" s="64">
        <f t="shared" si="4"/>
        <v>43750000</v>
      </c>
      <c r="H12" s="64">
        <f t="shared" si="4"/>
        <v>44750000</v>
      </c>
      <c r="I12" s="64">
        <f t="shared" si="4"/>
        <v>44750000</v>
      </c>
      <c r="J12" s="64">
        <f t="shared" si="4"/>
        <v>45750000</v>
      </c>
      <c r="K12" s="64">
        <f t="shared" si="4"/>
        <v>45750000</v>
      </c>
      <c r="L12" s="64">
        <f t="shared" si="4"/>
        <v>46750000</v>
      </c>
      <c r="M12" s="64">
        <f t="shared" si="4"/>
        <v>46750000</v>
      </c>
      <c r="N12" s="64">
        <f t="shared" si="4"/>
        <v>47750000</v>
      </c>
      <c r="O12" s="64">
        <f t="shared" si="5"/>
        <v>547300000</v>
      </c>
    </row>
    <row r="13">
      <c r="B13" s="147" t="s">
        <v>196</v>
      </c>
      <c r="C13" s="64">
        <f t="shared" ref="C13:O13" si="6">C9-C12</f>
        <v>477837500</v>
      </c>
      <c r="D13" s="84">
        <f t="shared" si="6"/>
        <v>-4046250</v>
      </c>
      <c r="E13" s="84">
        <f t="shared" si="6"/>
        <v>5665500</v>
      </c>
      <c r="F13" s="64">
        <f t="shared" si="6"/>
        <v>16425000</v>
      </c>
      <c r="G13" s="64">
        <f t="shared" si="6"/>
        <v>27980000</v>
      </c>
      <c r="H13" s="64">
        <f t="shared" si="6"/>
        <v>41773750</v>
      </c>
      <c r="I13" s="64">
        <f t="shared" si="6"/>
        <v>56867500</v>
      </c>
      <c r="J13" s="64">
        <f t="shared" si="6"/>
        <v>73800000</v>
      </c>
      <c r="K13" s="64">
        <f t="shared" si="6"/>
        <v>91732500</v>
      </c>
      <c r="L13" s="64">
        <f t="shared" si="6"/>
        <v>111503750</v>
      </c>
      <c r="M13" s="64">
        <f t="shared" si="6"/>
        <v>132575000</v>
      </c>
      <c r="N13" s="64">
        <f t="shared" si="6"/>
        <v>155485000</v>
      </c>
      <c r="O13" s="64">
        <f t="shared" si="6"/>
        <v>1187599250</v>
      </c>
    </row>
    <row r="14">
      <c r="B14" s="147" t="s">
        <v>197</v>
      </c>
      <c r="C14" s="64">
        <f>C13</f>
        <v>477837500</v>
      </c>
      <c r="D14" s="64">
        <f t="shared" ref="D14:N14" si="7">D5+D13</f>
        <v>473791250</v>
      </c>
      <c r="E14" s="64">
        <f t="shared" si="7"/>
        <v>479456750</v>
      </c>
      <c r="F14" s="64">
        <f t="shared" si="7"/>
        <v>495881750</v>
      </c>
      <c r="G14" s="64">
        <f t="shared" si="7"/>
        <v>523861750</v>
      </c>
      <c r="H14" s="64">
        <f t="shared" si="7"/>
        <v>565635500</v>
      </c>
      <c r="I14" s="64">
        <f t="shared" si="7"/>
        <v>622503000</v>
      </c>
      <c r="J14" s="64">
        <f t="shared" si="7"/>
        <v>696303000</v>
      </c>
      <c r="K14" s="64">
        <f t="shared" si="7"/>
        <v>788035500</v>
      </c>
      <c r="L14" s="64">
        <f t="shared" si="7"/>
        <v>899539250</v>
      </c>
      <c r="M14" s="64">
        <f t="shared" si="7"/>
        <v>1032114250</v>
      </c>
      <c r="N14" s="64">
        <f t="shared" si="7"/>
        <v>1187599250</v>
      </c>
      <c r="O14" s="16"/>
    </row>
    <row r="16">
      <c r="B16" s="21" t="s">
        <v>198</v>
      </c>
    </row>
    <row r="17">
      <c r="B17" s="21" t="s">
        <v>199</v>
      </c>
    </row>
    <row r="19">
      <c r="B19" s="21" t="s">
        <v>200</v>
      </c>
    </row>
    <row r="20">
      <c r="B20" s="21" t="s">
        <v>201</v>
      </c>
    </row>
    <row r="21">
      <c r="B21" s="21" t="s">
        <v>202</v>
      </c>
    </row>
  </sheetData>
  <mergeCells count="1">
    <mergeCell ref="B2:O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sheetData>
    <row r="2">
      <c r="B2" s="144" t="s">
        <v>180</v>
      </c>
    </row>
  </sheetData>
  <mergeCells count="1">
    <mergeCell ref="B2:O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workbookViewId="0"/>
  </sheetViews>
  <sheetFormatPr customHeight="1" defaultColWidth="12.63" defaultRowHeight="15.75"/>
  <sheetData>
    <row r="2">
      <c r="B2" s="151" t="s">
        <v>206</v>
      </c>
    </row>
  </sheetData>
  <mergeCells count="1">
    <mergeCell ref="B2:O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2">
      <c r="B2" s="157" t="s">
        <v>210</v>
      </c>
    </row>
    <row r="4">
      <c r="B4" s="19" t="s">
        <v>84</v>
      </c>
      <c r="C4" s="19" t="s">
        <v>10</v>
      </c>
      <c r="D4" s="19" t="s">
        <v>11</v>
      </c>
      <c r="E4" s="19" t="s">
        <v>13</v>
      </c>
      <c r="F4" s="19" t="s">
        <v>14</v>
      </c>
      <c r="G4" s="19" t="s">
        <v>15</v>
      </c>
      <c r="H4" s="19" t="s">
        <v>16</v>
      </c>
      <c r="I4" s="19" t="s">
        <v>17</v>
      </c>
      <c r="J4" s="19" t="s">
        <v>19</v>
      </c>
      <c r="K4" s="19" t="s">
        <v>21</v>
      </c>
      <c r="L4" s="19" t="s">
        <v>22</v>
      </c>
      <c r="M4" s="19" t="s">
        <v>23</v>
      </c>
      <c r="N4" s="19" t="s">
        <v>24</v>
      </c>
      <c r="O4" s="19" t="s">
        <v>211</v>
      </c>
    </row>
  </sheetData>
  <mergeCells count="1">
    <mergeCell ref="B2:O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62" t="s">
        <v>213</v>
      </c>
    </row>
  </sheetData>
  <mergeCells count="1">
    <mergeCell ref="B2:O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48" t="s">
        <v>223</v>
      </c>
      <c r="C2" s="48" t="s">
        <v>61</v>
      </c>
    </row>
    <row r="3">
      <c r="B3" s="48" t="s">
        <v>224</v>
      </c>
      <c r="C3" s="143">
        <v>200000.0</v>
      </c>
    </row>
    <row r="4">
      <c r="B4" s="48" t="s">
        <v>225</v>
      </c>
      <c r="C4" s="143">
        <v>699000.0</v>
      </c>
    </row>
    <row r="5">
      <c r="B5" s="48" t="s">
        <v>226</v>
      </c>
      <c r="C5" s="143">
        <v>0.85</v>
      </c>
    </row>
    <row r="6">
      <c r="B6" s="48" t="s">
        <v>227</v>
      </c>
      <c r="C6" s="143">
        <v>1.2582E7</v>
      </c>
    </row>
    <row r="7">
      <c r="B7" s="4"/>
      <c r="C7" s="4"/>
    </row>
    <row r="8">
      <c r="B8" s="48" t="s">
        <v>228</v>
      </c>
      <c r="C8" s="48" t="s">
        <v>61</v>
      </c>
    </row>
    <row r="9">
      <c r="B9" s="48" t="s">
        <v>63</v>
      </c>
      <c r="C9" s="143">
        <v>1000.0</v>
      </c>
    </row>
    <row r="10">
      <c r="B10" s="48" t="s">
        <v>229</v>
      </c>
      <c r="C10" s="143">
        <v>0.7</v>
      </c>
    </row>
    <row r="11">
      <c r="B11" s="48" t="s">
        <v>230</v>
      </c>
      <c r="C11" s="143">
        <v>5.0</v>
      </c>
    </row>
  </sheetData>
  <drawing r:id="rId1"/>
</worksheet>
</file>